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anishmuzaffar/Daanish/MEF/Contionuous Time derivative Pricing/Assignment/"/>
    </mc:Choice>
  </mc:AlternateContent>
  <xr:revisionPtr revIDLastSave="0" documentId="13_ncr:1_{09140B02-1A27-C44E-8C21-21A50F642F59}" xr6:coauthVersionLast="47" xr6:coauthVersionMax="47" xr10:uidLastSave="{00000000-0000-0000-0000-000000000000}"/>
  <bookViews>
    <workbookView xWindow="0" yWindow="480" windowWidth="28800" windowHeight="17520" tabRatio="500" activeTab="5" xr2:uid="{00000000-000D-0000-FFFF-FFFF00000000}"/>
  </bookViews>
  <sheets>
    <sheet name="Cover" sheetId="1" r:id="rId1"/>
    <sheet name="Inputs" sheetId="2" r:id="rId2"/>
    <sheet name="Data_Stock" sheetId="3" r:id="rId3"/>
    <sheet name="Data_Cert" sheetId="4" r:id="rId4"/>
    <sheet name="Data_Svensson" sheetId="5" r:id="rId5"/>
    <sheet name="P1_Tasks_I_IV" sheetId="6" r:id="rId6"/>
    <sheet name="P2_TaskV_Valuation" sheetId="7" r:id="rId7"/>
    <sheet name="P2_TaskVI_Greeks" sheetId="8" r:id="rId8"/>
    <sheet name="P2_TaskVII_Replication" sheetId="9" r:id="rId9"/>
    <sheet name="CRR_CrossCheck" sheetId="10" r:id="rId10"/>
    <sheet name="Results" sheetId="11" r:id="rId11"/>
  </sheets>
  <definedNames>
    <definedName name="AnnualDiv">Inputs!$B$11</definedName>
    <definedName name="Barrier">Inputs!$B$6</definedName>
    <definedName name="Bonus">Inputs!$B$5</definedName>
    <definedName name="Cap">Inputs!$B$4</definedName>
    <definedName name="dR">Inputs!$B$18</definedName>
    <definedName name="dS">Inputs!$B$15</definedName>
    <definedName name="dSig">Inputs!$B$16</definedName>
    <definedName name="dT">Inputs!$B$17</definedName>
    <definedName name="EWMAlambda">Inputs!$B$14</definedName>
    <definedName name="IssueDate">Inputs!$B$8</definedName>
    <definedName name="K_d">Inputs!$B$22</definedName>
    <definedName name="KCap_d">Inputs!$B$23</definedName>
    <definedName name="MaturityDate">Inputs!$B$9</definedName>
    <definedName name="q">Inputs!$B$13</definedName>
    <definedName name="Ratio">Inputs!$B$7</definedName>
    <definedName name="RedemptionDate">Inputs!$B$10</definedName>
    <definedName name="RefSpot">Inputs!$B$12</definedName>
    <definedName name="S0_d">Inputs!$B$21</definedName>
    <definedName name="Sig_d">Inputs!$B$25</definedName>
    <definedName name="svb0">Inputs!$B$26</definedName>
    <definedName name="svb1">Inputs!$B$27</definedName>
    <definedName name="svb2">Inputs!$B$28</definedName>
    <definedName name="svb3">Inputs!$B$29</definedName>
    <definedName name="svt1">Inputs!$B$30</definedName>
    <definedName name="svt2">Inputs!$B$31</definedName>
    <definedName name="T_d">Inputs!$B$24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6" l="1"/>
  <c r="B33" i="6" l="1"/>
  <c r="B5" i="11"/>
  <c r="B4" i="11"/>
  <c r="B108" i="10"/>
  <c r="B107" i="10"/>
  <c r="B11" i="10"/>
  <c r="B12" i="10" s="1"/>
  <c r="B7" i="10"/>
  <c r="B6" i="10"/>
  <c r="B5" i="10"/>
  <c r="D156" i="9"/>
  <c r="D130" i="9"/>
  <c r="A113" i="9"/>
  <c r="H16" i="8"/>
  <c r="I13" i="8"/>
  <c r="I16" i="8" s="1"/>
  <c r="H13" i="8"/>
  <c r="F13" i="8"/>
  <c r="D13" i="8"/>
  <c r="I12" i="8"/>
  <c r="H12" i="8"/>
  <c r="F12" i="8"/>
  <c r="F16" i="8" s="1"/>
  <c r="E12" i="8"/>
  <c r="E16" i="8" s="1"/>
  <c r="D12" i="8"/>
  <c r="D16" i="8" s="1"/>
  <c r="C12" i="8"/>
  <c r="B12" i="8"/>
  <c r="B7" i="8"/>
  <c r="E13" i="8" s="1"/>
  <c r="B6" i="8"/>
  <c r="G12" i="8" s="1"/>
  <c r="B5" i="8"/>
  <c r="AF186" i="7"/>
  <c r="AC186" i="7"/>
  <c r="E186" i="7"/>
  <c r="D186" i="7"/>
  <c r="C186" i="7"/>
  <c r="B186" i="7"/>
  <c r="A186" i="7"/>
  <c r="AF185" i="7"/>
  <c r="C185" i="7"/>
  <c r="B185" i="7"/>
  <c r="A185" i="7"/>
  <c r="AF184" i="7"/>
  <c r="J184" i="7"/>
  <c r="I184" i="7"/>
  <c r="E184" i="7"/>
  <c r="C184" i="7"/>
  <c r="B184" i="7"/>
  <c r="A184" i="7"/>
  <c r="AC184" i="7" s="1"/>
  <c r="AF183" i="7"/>
  <c r="AC183" i="7"/>
  <c r="I183" i="7"/>
  <c r="D183" i="7"/>
  <c r="C183" i="7"/>
  <c r="B183" i="7"/>
  <c r="A183" i="7"/>
  <c r="AF182" i="7"/>
  <c r="C182" i="7"/>
  <c r="B182" i="7"/>
  <c r="A182" i="7"/>
  <c r="AF181" i="7"/>
  <c r="AC181" i="7"/>
  <c r="M181" i="7"/>
  <c r="J181" i="7"/>
  <c r="I181" i="7"/>
  <c r="K181" i="7" s="1"/>
  <c r="L181" i="7" s="1"/>
  <c r="E181" i="7"/>
  <c r="D181" i="7"/>
  <c r="E181" i="9" s="1"/>
  <c r="C181" i="7"/>
  <c r="B181" i="7"/>
  <c r="A181" i="7"/>
  <c r="AF180" i="7"/>
  <c r="AC180" i="7"/>
  <c r="C180" i="7"/>
  <c r="B180" i="7"/>
  <c r="A180" i="7"/>
  <c r="AF179" i="7"/>
  <c r="C179" i="7"/>
  <c r="B179" i="7"/>
  <c r="A179" i="7"/>
  <c r="AF178" i="7"/>
  <c r="E178" i="7"/>
  <c r="D178" i="7"/>
  <c r="C178" i="7"/>
  <c r="B178" i="7"/>
  <c r="A178" i="7"/>
  <c r="AF177" i="7"/>
  <c r="I177" i="7"/>
  <c r="K177" i="7" s="1"/>
  <c r="L177" i="7" s="1"/>
  <c r="D177" i="7"/>
  <c r="E177" i="9" s="1"/>
  <c r="C177" i="7"/>
  <c r="B177" i="7"/>
  <c r="A177" i="7"/>
  <c r="AC177" i="7" s="1"/>
  <c r="AF176" i="7"/>
  <c r="J176" i="7"/>
  <c r="I176" i="7"/>
  <c r="E176" i="7"/>
  <c r="C176" i="7"/>
  <c r="B176" i="7"/>
  <c r="A176" i="7"/>
  <c r="AF175" i="7"/>
  <c r="AC175" i="7"/>
  <c r="I175" i="7"/>
  <c r="E175" i="7"/>
  <c r="D175" i="7"/>
  <c r="C175" i="7"/>
  <c r="B175" i="7"/>
  <c r="A175" i="7"/>
  <c r="AF174" i="7"/>
  <c r="J174" i="7"/>
  <c r="E174" i="7"/>
  <c r="C174" i="7"/>
  <c r="B174" i="7"/>
  <c r="A174" i="7"/>
  <c r="AF173" i="7"/>
  <c r="AC173" i="7"/>
  <c r="K173" i="7"/>
  <c r="L173" i="7" s="1"/>
  <c r="J173" i="7"/>
  <c r="I173" i="7"/>
  <c r="E173" i="7"/>
  <c r="D173" i="7"/>
  <c r="E173" i="9" s="1"/>
  <c r="C173" i="7"/>
  <c r="B173" i="7"/>
  <c r="A173" i="7"/>
  <c r="AF172" i="7"/>
  <c r="J172" i="7"/>
  <c r="C172" i="7"/>
  <c r="B172" i="7"/>
  <c r="A172" i="7"/>
  <c r="AC172" i="7" s="1"/>
  <c r="AF171" i="7"/>
  <c r="J171" i="7"/>
  <c r="C171" i="7"/>
  <c r="B171" i="7"/>
  <c r="A171" i="7"/>
  <c r="AF170" i="7"/>
  <c r="AC170" i="7"/>
  <c r="J170" i="7"/>
  <c r="C170" i="7"/>
  <c r="B170" i="7"/>
  <c r="A170" i="7"/>
  <c r="AF169" i="7"/>
  <c r="C169" i="7"/>
  <c r="B169" i="7"/>
  <c r="A169" i="7"/>
  <c r="AF168" i="7"/>
  <c r="E168" i="7"/>
  <c r="C168" i="7"/>
  <c r="B168" i="7"/>
  <c r="A168" i="7"/>
  <c r="AF167" i="7"/>
  <c r="AC167" i="7"/>
  <c r="I167" i="7"/>
  <c r="E167" i="7"/>
  <c r="D167" i="7"/>
  <c r="C167" i="7"/>
  <c r="B167" i="7"/>
  <c r="A167" i="7"/>
  <c r="AF166" i="7"/>
  <c r="C166" i="7"/>
  <c r="B166" i="7"/>
  <c r="A166" i="7"/>
  <c r="AF165" i="7"/>
  <c r="AC165" i="7"/>
  <c r="J165" i="7"/>
  <c r="I165" i="7"/>
  <c r="E165" i="7"/>
  <c r="D165" i="7"/>
  <c r="E165" i="9" s="1"/>
  <c r="C165" i="7"/>
  <c r="B165" i="7"/>
  <c r="A165" i="7"/>
  <c r="AF164" i="7"/>
  <c r="AC164" i="7"/>
  <c r="J164" i="7"/>
  <c r="E164" i="7"/>
  <c r="D164" i="7"/>
  <c r="C164" i="7"/>
  <c r="B164" i="7"/>
  <c r="A164" i="7"/>
  <c r="AF163" i="7"/>
  <c r="AC163" i="7"/>
  <c r="J163" i="7"/>
  <c r="I163" i="7"/>
  <c r="K163" i="7" s="1"/>
  <c r="L163" i="7" s="1"/>
  <c r="D163" i="7"/>
  <c r="C163" i="7"/>
  <c r="B163" i="7"/>
  <c r="A163" i="7"/>
  <c r="AF162" i="7"/>
  <c r="E162" i="7"/>
  <c r="C162" i="7"/>
  <c r="B162" i="7"/>
  <c r="A162" i="7"/>
  <c r="AF161" i="7"/>
  <c r="C161" i="7"/>
  <c r="B161" i="7"/>
  <c r="A161" i="7"/>
  <c r="AF160" i="7"/>
  <c r="J160" i="7"/>
  <c r="C160" i="7"/>
  <c r="B160" i="7"/>
  <c r="A160" i="7"/>
  <c r="AF159" i="7"/>
  <c r="AC159" i="7"/>
  <c r="K159" i="7"/>
  <c r="L159" i="7" s="1"/>
  <c r="I159" i="7"/>
  <c r="E159" i="7"/>
  <c r="D159" i="7"/>
  <c r="E159" i="9" s="1"/>
  <c r="C159" i="7"/>
  <c r="B159" i="7"/>
  <c r="A159" i="7"/>
  <c r="AF158" i="7"/>
  <c r="C158" i="7"/>
  <c r="B158" i="7"/>
  <c r="A158" i="7"/>
  <c r="AF157" i="7"/>
  <c r="AC157" i="7"/>
  <c r="M157" i="7"/>
  <c r="K157" i="7"/>
  <c r="L157" i="7" s="1"/>
  <c r="J157" i="7"/>
  <c r="I157" i="7"/>
  <c r="E157" i="7"/>
  <c r="D157" i="7"/>
  <c r="E157" i="9" s="1"/>
  <c r="C157" i="7"/>
  <c r="B157" i="7"/>
  <c r="A157" i="7"/>
  <c r="AF156" i="7"/>
  <c r="D156" i="7"/>
  <c r="C156" i="7"/>
  <c r="B156" i="7"/>
  <c r="A156" i="7"/>
  <c r="AF155" i="7"/>
  <c r="J155" i="7"/>
  <c r="I155" i="7"/>
  <c r="D155" i="7"/>
  <c r="E155" i="9" s="1"/>
  <c r="C155" i="7"/>
  <c r="B155" i="7"/>
  <c r="A155" i="7"/>
  <c r="AC155" i="7" s="1"/>
  <c r="AF154" i="7"/>
  <c r="AC154" i="7"/>
  <c r="J154" i="7"/>
  <c r="I154" i="7"/>
  <c r="E154" i="7"/>
  <c r="D154" i="7"/>
  <c r="C154" i="7"/>
  <c r="B154" i="7"/>
  <c r="A154" i="7"/>
  <c r="AF153" i="7"/>
  <c r="AC153" i="7"/>
  <c r="I153" i="7"/>
  <c r="D153" i="7"/>
  <c r="C153" i="7"/>
  <c r="B153" i="7"/>
  <c r="A153" i="7"/>
  <c r="AF152" i="7"/>
  <c r="J152" i="7"/>
  <c r="I152" i="7"/>
  <c r="E152" i="7"/>
  <c r="C152" i="7"/>
  <c r="B152" i="7"/>
  <c r="A152" i="7"/>
  <c r="AF151" i="7"/>
  <c r="AC151" i="7"/>
  <c r="I151" i="7"/>
  <c r="K151" i="7" s="1"/>
  <c r="L151" i="7" s="1"/>
  <c r="E151" i="7"/>
  <c r="D151" i="7"/>
  <c r="E151" i="9" s="1"/>
  <c r="C151" i="7"/>
  <c r="B151" i="7"/>
  <c r="A151" i="7"/>
  <c r="AF150" i="7"/>
  <c r="C150" i="7"/>
  <c r="B150" i="7"/>
  <c r="A150" i="7"/>
  <c r="AF149" i="7"/>
  <c r="J149" i="7"/>
  <c r="I149" i="7"/>
  <c r="G149" i="7"/>
  <c r="F149" i="7"/>
  <c r="E149" i="7"/>
  <c r="C149" i="7"/>
  <c r="B149" i="7"/>
  <c r="A149" i="7"/>
  <c r="AF148" i="7"/>
  <c r="AC148" i="7"/>
  <c r="I148" i="7"/>
  <c r="F148" i="7"/>
  <c r="E148" i="7"/>
  <c r="D148" i="7"/>
  <c r="C148" i="7"/>
  <c r="B148" i="7"/>
  <c r="A148" i="7"/>
  <c r="AF147" i="7"/>
  <c r="AC147" i="7"/>
  <c r="G147" i="7"/>
  <c r="E147" i="7"/>
  <c r="C147" i="7"/>
  <c r="B147" i="7"/>
  <c r="A147" i="7"/>
  <c r="AF146" i="7"/>
  <c r="AC146" i="7"/>
  <c r="I146" i="7"/>
  <c r="G146" i="7"/>
  <c r="F146" i="7"/>
  <c r="E146" i="7"/>
  <c r="D146" i="7"/>
  <c r="C146" i="7"/>
  <c r="B146" i="7"/>
  <c r="A146" i="7"/>
  <c r="AF145" i="7"/>
  <c r="J145" i="7"/>
  <c r="M145" i="7" s="1"/>
  <c r="D145" i="7"/>
  <c r="E145" i="9" s="1"/>
  <c r="C145" i="7"/>
  <c r="B145" i="7"/>
  <c r="A145" i="7"/>
  <c r="AF144" i="7"/>
  <c r="C144" i="7"/>
  <c r="B144" i="7"/>
  <c r="A144" i="7"/>
  <c r="AF143" i="7"/>
  <c r="J143" i="7"/>
  <c r="F143" i="7"/>
  <c r="E143" i="7"/>
  <c r="C143" i="7"/>
  <c r="B143" i="7"/>
  <c r="A143" i="7"/>
  <c r="AF142" i="7"/>
  <c r="AC142" i="7"/>
  <c r="J142" i="7"/>
  <c r="F142" i="7"/>
  <c r="D142" i="7"/>
  <c r="C142" i="7"/>
  <c r="B142" i="7"/>
  <c r="A142" i="7"/>
  <c r="I142" i="7" s="1"/>
  <c r="AF141" i="7"/>
  <c r="I141" i="7"/>
  <c r="G141" i="7"/>
  <c r="F141" i="7"/>
  <c r="E141" i="7"/>
  <c r="C141" i="7"/>
  <c r="B141" i="7"/>
  <c r="A141" i="7"/>
  <c r="J141" i="7" s="1"/>
  <c r="AF140" i="7"/>
  <c r="AC140" i="7"/>
  <c r="I140" i="7"/>
  <c r="F140" i="7"/>
  <c r="E140" i="7"/>
  <c r="D140" i="7"/>
  <c r="C140" i="7"/>
  <c r="B140" i="7"/>
  <c r="A140" i="7"/>
  <c r="AF139" i="7"/>
  <c r="AC139" i="7"/>
  <c r="J139" i="7"/>
  <c r="E139" i="7"/>
  <c r="C139" i="7"/>
  <c r="B139" i="7"/>
  <c r="A139" i="7"/>
  <c r="AF138" i="7"/>
  <c r="AC138" i="7"/>
  <c r="K138" i="7"/>
  <c r="L138" i="7" s="1"/>
  <c r="I138" i="7"/>
  <c r="G138" i="7"/>
  <c r="F138" i="7"/>
  <c r="E138" i="7"/>
  <c r="D138" i="7"/>
  <c r="E138" i="9" s="1"/>
  <c r="C138" i="7"/>
  <c r="B138" i="7"/>
  <c r="A138" i="7"/>
  <c r="AF137" i="7"/>
  <c r="C137" i="7"/>
  <c r="B137" i="7"/>
  <c r="A137" i="7"/>
  <c r="AF136" i="7"/>
  <c r="AC136" i="7"/>
  <c r="J136" i="7"/>
  <c r="I136" i="7"/>
  <c r="F136" i="7"/>
  <c r="D136" i="7"/>
  <c r="C136" i="7"/>
  <c r="B136" i="7"/>
  <c r="A136" i="7"/>
  <c r="G136" i="7" s="1"/>
  <c r="AF135" i="7"/>
  <c r="J135" i="7"/>
  <c r="G135" i="7"/>
  <c r="F135" i="7"/>
  <c r="E135" i="7"/>
  <c r="D135" i="7"/>
  <c r="C135" i="7"/>
  <c r="B135" i="7"/>
  <c r="A135" i="7"/>
  <c r="AF134" i="7"/>
  <c r="AC134" i="7"/>
  <c r="M134" i="7"/>
  <c r="J134" i="7"/>
  <c r="I134" i="7"/>
  <c r="F134" i="7"/>
  <c r="D134" i="7"/>
  <c r="E134" i="9" s="1"/>
  <c r="C134" i="7"/>
  <c r="B134" i="7"/>
  <c r="A134" i="7"/>
  <c r="AF133" i="7"/>
  <c r="J133" i="7"/>
  <c r="E133" i="7"/>
  <c r="C133" i="7"/>
  <c r="B133" i="7"/>
  <c r="A133" i="7"/>
  <c r="AF132" i="7"/>
  <c r="AC132" i="7"/>
  <c r="I132" i="7"/>
  <c r="K132" i="7" s="1"/>
  <c r="L132" i="7" s="1"/>
  <c r="F132" i="7"/>
  <c r="E132" i="7"/>
  <c r="D132" i="7"/>
  <c r="E132" i="9" s="1"/>
  <c r="C132" i="7"/>
  <c r="B132" i="7"/>
  <c r="A132" i="7"/>
  <c r="AF131" i="7"/>
  <c r="C131" i="7"/>
  <c r="B131" i="7"/>
  <c r="A131" i="7"/>
  <c r="AF130" i="7"/>
  <c r="AC130" i="7"/>
  <c r="I130" i="7"/>
  <c r="G130" i="7"/>
  <c r="F130" i="7"/>
  <c r="E130" i="7"/>
  <c r="D130" i="7"/>
  <c r="C130" i="7"/>
  <c r="B130" i="7"/>
  <c r="A130" i="7"/>
  <c r="AF129" i="7"/>
  <c r="AC129" i="7"/>
  <c r="J129" i="7"/>
  <c r="H129" i="7"/>
  <c r="F129" i="7"/>
  <c r="E129" i="7"/>
  <c r="D129" i="7"/>
  <c r="C129" i="7"/>
  <c r="B129" i="7"/>
  <c r="A129" i="7"/>
  <c r="G129" i="7" s="1"/>
  <c r="AF128" i="7"/>
  <c r="AC128" i="7"/>
  <c r="P128" i="7"/>
  <c r="G128" i="9" s="1"/>
  <c r="J128" i="7"/>
  <c r="H128" i="7"/>
  <c r="F128" i="7"/>
  <c r="E128" i="7"/>
  <c r="D128" i="7"/>
  <c r="E128" i="9" s="1"/>
  <c r="C128" i="7"/>
  <c r="D128" i="9" s="1"/>
  <c r="B128" i="7"/>
  <c r="A128" i="7"/>
  <c r="A128" i="9" s="1"/>
  <c r="AF127" i="7"/>
  <c r="AC127" i="7"/>
  <c r="J127" i="7"/>
  <c r="M127" i="7" s="1"/>
  <c r="H127" i="7"/>
  <c r="F127" i="7"/>
  <c r="E127" i="7"/>
  <c r="D127" i="7"/>
  <c r="E127" i="9" s="1"/>
  <c r="C127" i="7"/>
  <c r="D127" i="9" s="1"/>
  <c r="B127" i="7"/>
  <c r="A127" i="7"/>
  <c r="A127" i="9" s="1"/>
  <c r="AF126" i="7"/>
  <c r="AC126" i="7"/>
  <c r="M126" i="7"/>
  <c r="J126" i="7"/>
  <c r="H126" i="7"/>
  <c r="F126" i="7"/>
  <c r="E126" i="7"/>
  <c r="D126" i="7"/>
  <c r="E126" i="9" s="1"/>
  <c r="C126" i="7"/>
  <c r="B126" i="7"/>
  <c r="A126" i="7"/>
  <c r="A126" i="9" s="1"/>
  <c r="AF125" i="7"/>
  <c r="AC125" i="7"/>
  <c r="J125" i="7"/>
  <c r="H125" i="7"/>
  <c r="F125" i="7"/>
  <c r="E125" i="7"/>
  <c r="D125" i="7"/>
  <c r="C125" i="7"/>
  <c r="B125" i="7"/>
  <c r="A125" i="7"/>
  <c r="A125" i="9" s="1"/>
  <c r="AF124" i="7"/>
  <c r="AC124" i="7"/>
  <c r="J124" i="7"/>
  <c r="H124" i="7"/>
  <c r="F124" i="7"/>
  <c r="E124" i="7"/>
  <c r="D124" i="7"/>
  <c r="C124" i="7"/>
  <c r="D124" i="9" s="1"/>
  <c r="B124" i="7"/>
  <c r="A124" i="7"/>
  <c r="A124" i="9" s="1"/>
  <c r="AF123" i="7"/>
  <c r="AC123" i="7"/>
  <c r="P123" i="7"/>
  <c r="G123" i="9" s="1"/>
  <c r="M123" i="7"/>
  <c r="J123" i="7"/>
  <c r="H123" i="7"/>
  <c r="F123" i="7"/>
  <c r="E123" i="7"/>
  <c r="D123" i="7"/>
  <c r="E123" i="9" s="1"/>
  <c r="C123" i="7"/>
  <c r="D123" i="9" s="1"/>
  <c r="B123" i="7"/>
  <c r="A123" i="7"/>
  <c r="A123" i="9" s="1"/>
  <c r="AF122" i="7"/>
  <c r="AC122" i="7"/>
  <c r="J122" i="7"/>
  <c r="H122" i="7"/>
  <c r="F122" i="7"/>
  <c r="E122" i="7"/>
  <c r="D122" i="7"/>
  <c r="C122" i="7"/>
  <c r="B122" i="7"/>
  <c r="A122" i="7"/>
  <c r="A122" i="9" s="1"/>
  <c r="AF121" i="7"/>
  <c r="AC121" i="7"/>
  <c r="P121" i="7"/>
  <c r="J121" i="7"/>
  <c r="H121" i="7"/>
  <c r="F121" i="7"/>
  <c r="E121" i="7"/>
  <c r="D121" i="7"/>
  <c r="C121" i="7"/>
  <c r="D121" i="9" s="1"/>
  <c r="B121" i="7"/>
  <c r="A121" i="7"/>
  <c r="A121" i="9" s="1"/>
  <c r="AF120" i="7"/>
  <c r="AC120" i="7"/>
  <c r="P120" i="7"/>
  <c r="G120" i="9" s="1"/>
  <c r="J120" i="7"/>
  <c r="H120" i="7"/>
  <c r="F120" i="7"/>
  <c r="E120" i="7"/>
  <c r="D120" i="7"/>
  <c r="E120" i="9" s="1"/>
  <c r="C120" i="7"/>
  <c r="D120" i="9" s="1"/>
  <c r="B120" i="7"/>
  <c r="A120" i="7"/>
  <c r="A120" i="9" s="1"/>
  <c r="AF119" i="7"/>
  <c r="AC119" i="7"/>
  <c r="J119" i="7"/>
  <c r="M119" i="7" s="1"/>
  <c r="H119" i="7"/>
  <c r="F119" i="7"/>
  <c r="E119" i="7"/>
  <c r="D119" i="7"/>
  <c r="E119" i="9" s="1"/>
  <c r="C119" i="7"/>
  <c r="D119" i="9" s="1"/>
  <c r="B119" i="7"/>
  <c r="A119" i="7"/>
  <c r="A119" i="9" s="1"/>
  <c r="AF118" i="7"/>
  <c r="AC118" i="7"/>
  <c r="M118" i="7"/>
  <c r="J118" i="7"/>
  <c r="H118" i="7"/>
  <c r="F118" i="7"/>
  <c r="E118" i="7"/>
  <c r="D118" i="7"/>
  <c r="E118" i="9" s="1"/>
  <c r="C118" i="7"/>
  <c r="B118" i="7"/>
  <c r="A118" i="7"/>
  <c r="A118" i="9" s="1"/>
  <c r="AF117" i="7"/>
  <c r="AC117" i="7"/>
  <c r="J117" i="7"/>
  <c r="H117" i="7"/>
  <c r="F117" i="7"/>
  <c r="E117" i="7"/>
  <c r="D117" i="7"/>
  <c r="C117" i="7"/>
  <c r="B117" i="7"/>
  <c r="A117" i="7"/>
  <c r="A117" i="9" s="1"/>
  <c r="AF116" i="7"/>
  <c r="AC116" i="7"/>
  <c r="J116" i="7"/>
  <c r="H116" i="7"/>
  <c r="F116" i="7"/>
  <c r="E116" i="7"/>
  <c r="D116" i="7"/>
  <c r="C116" i="7"/>
  <c r="D116" i="9" s="1"/>
  <c r="B116" i="7"/>
  <c r="A116" i="7"/>
  <c r="A116" i="9" s="1"/>
  <c r="AF115" i="7"/>
  <c r="AC115" i="7"/>
  <c r="M115" i="7"/>
  <c r="J115" i="7"/>
  <c r="H115" i="7"/>
  <c r="F115" i="7"/>
  <c r="E115" i="7"/>
  <c r="D115" i="7"/>
  <c r="E115" i="9" s="1"/>
  <c r="C115" i="7"/>
  <c r="D115" i="9" s="1"/>
  <c r="B115" i="7"/>
  <c r="A115" i="7"/>
  <c r="A115" i="9" s="1"/>
  <c r="AF114" i="7"/>
  <c r="AC114" i="7"/>
  <c r="M114" i="7"/>
  <c r="J114" i="7"/>
  <c r="H114" i="7"/>
  <c r="F114" i="7"/>
  <c r="E114" i="7"/>
  <c r="D114" i="7"/>
  <c r="C114" i="7"/>
  <c r="B114" i="7"/>
  <c r="A114" i="7"/>
  <c r="A114" i="9" s="1"/>
  <c r="AF113" i="7"/>
  <c r="AC113" i="7"/>
  <c r="P113" i="7"/>
  <c r="J113" i="7"/>
  <c r="H113" i="7"/>
  <c r="F113" i="7"/>
  <c r="E113" i="7"/>
  <c r="D113" i="7"/>
  <c r="C113" i="7"/>
  <c r="D113" i="9" s="1"/>
  <c r="B113" i="7"/>
  <c r="A113" i="7"/>
  <c r="G113" i="7" s="1"/>
  <c r="AF112" i="7"/>
  <c r="AC112" i="7"/>
  <c r="P112" i="7"/>
  <c r="G112" i="9" s="1"/>
  <c r="J112" i="7"/>
  <c r="H112" i="7"/>
  <c r="F112" i="7"/>
  <c r="E112" i="7"/>
  <c r="D112" i="7"/>
  <c r="E112" i="9" s="1"/>
  <c r="C112" i="7"/>
  <c r="D112" i="9" s="1"/>
  <c r="B112" i="7"/>
  <c r="A112" i="7"/>
  <c r="A112" i="9" s="1"/>
  <c r="AF111" i="7"/>
  <c r="AC111" i="7"/>
  <c r="J111" i="7"/>
  <c r="H111" i="7"/>
  <c r="F111" i="7"/>
  <c r="E111" i="7"/>
  <c r="D111" i="7"/>
  <c r="C111" i="7"/>
  <c r="B111" i="7"/>
  <c r="A111" i="7"/>
  <c r="A111" i="9" s="1"/>
  <c r="AF110" i="7"/>
  <c r="AC110" i="7"/>
  <c r="P110" i="7"/>
  <c r="G110" i="9" s="1"/>
  <c r="M110" i="7"/>
  <c r="J110" i="7"/>
  <c r="H110" i="7"/>
  <c r="F110" i="7"/>
  <c r="E110" i="7"/>
  <c r="D110" i="7"/>
  <c r="E110" i="9" s="1"/>
  <c r="C110" i="7"/>
  <c r="D110" i="9" s="1"/>
  <c r="B110" i="7"/>
  <c r="A110" i="7"/>
  <c r="A110" i="9" s="1"/>
  <c r="AF109" i="7"/>
  <c r="AC109" i="7"/>
  <c r="M109" i="7"/>
  <c r="J109" i="7"/>
  <c r="H109" i="7"/>
  <c r="F109" i="7"/>
  <c r="E109" i="7"/>
  <c r="D109" i="7"/>
  <c r="C109" i="7"/>
  <c r="B109" i="7"/>
  <c r="A109" i="7"/>
  <c r="A109" i="9" s="1"/>
  <c r="AF108" i="7"/>
  <c r="AC108" i="7"/>
  <c r="J108" i="7"/>
  <c r="H108" i="7"/>
  <c r="F108" i="7"/>
  <c r="E108" i="7"/>
  <c r="D108" i="7"/>
  <c r="C108" i="7"/>
  <c r="D108" i="9" s="1"/>
  <c r="B108" i="7"/>
  <c r="A108" i="7"/>
  <c r="A108" i="9" s="1"/>
  <c r="AF107" i="7"/>
  <c r="AC107" i="7"/>
  <c r="P107" i="7"/>
  <c r="J107" i="7"/>
  <c r="H107" i="7"/>
  <c r="F107" i="7"/>
  <c r="E107" i="7"/>
  <c r="D107" i="7"/>
  <c r="C107" i="7"/>
  <c r="D107" i="9" s="1"/>
  <c r="B107" i="7"/>
  <c r="A107" i="7"/>
  <c r="A107" i="9" s="1"/>
  <c r="AF106" i="7"/>
  <c r="AC106" i="7"/>
  <c r="P106" i="7"/>
  <c r="G106" i="9" s="1"/>
  <c r="J106" i="7"/>
  <c r="M106" i="7" s="1"/>
  <c r="H106" i="7"/>
  <c r="F106" i="7"/>
  <c r="E106" i="7"/>
  <c r="D106" i="7"/>
  <c r="E106" i="9" s="1"/>
  <c r="C106" i="7"/>
  <c r="D106" i="9" s="1"/>
  <c r="B106" i="7"/>
  <c r="A106" i="7"/>
  <c r="A106" i="9" s="1"/>
  <c r="AF105" i="7"/>
  <c r="AC105" i="7"/>
  <c r="J105" i="7"/>
  <c r="M105" i="7" s="1"/>
  <c r="H105" i="7"/>
  <c r="F105" i="7"/>
  <c r="E105" i="7"/>
  <c r="D105" i="7"/>
  <c r="E105" i="9" s="1"/>
  <c r="C105" i="7"/>
  <c r="B105" i="7"/>
  <c r="A105" i="7"/>
  <c r="A105" i="9" s="1"/>
  <c r="AF104" i="7"/>
  <c r="AC104" i="7"/>
  <c r="M104" i="7"/>
  <c r="J104" i="7"/>
  <c r="H104" i="7"/>
  <c r="F104" i="7"/>
  <c r="E104" i="7"/>
  <c r="D104" i="7"/>
  <c r="E104" i="9" s="1"/>
  <c r="C104" i="7"/>
  <c r="B104" i="7"/>
  <c r="A104" i="7"/>
  <c r="A104" i="9" s="1"/>
  <c r="AF103" i="7"/>
  <c r="AC103" i="7"/>
  <c r="J103" i="7"/>
  <c r="H103" i="7"/>
  <c r="F103" i="7"/>
  <c r="E103" i="7"/>
  <c r="D103" i="7"/>
  <c r="C103" i="7"/>
  <c r="D103" i="9" s="1"/>
  <c r="B103" i="7"/>
  <c r="A103" i="7"/>
  <c r="G103" i="7" s="1"/>
  <c r="AF102" i="7"/>
  <c r="AC102" i="7"/>
  <c r="M102" i="7"/>
  <c r="J102" i="7"/>
  <c r="H102" i="7"/>
  <c r="F102" i="7"/>
  <c r="E102" i="7"/>
  <c r="D102" i="7"/>
  <c r="E102" i="9" s="1"/>
  <c r="C102" i="7"/>
  <c r="B102" i="7"/>
  <c r="A102" i="7"/>
  <c r="A102" i="9" s="1"/>
  <c r="AF101" i="7"/>
  <c r="AC101" i="7"/>
  <c r="J101" i="7"/>
  <c r="H101" i="7"/>
  <c r="F101" i="7"/>
  <c r="E101" i="7"/>
  <c r="D101" i="7"/>
  <c r="C101" i="7"/>
  <c r="B101" i="7"/>
  <c r="A101" i="7"/>
  <c r="A101" i="9" s="1"/>
  <c r="AF100" i="7"/>
  <c r="AC100" i="7"/>
  <c r="M100" i="7"/>
  <c r="J100" i="7"/>
  <c r="H100" i="7"/>
  <c r="F100" i="7"/>
  <c r="E100" i="7"/>
  <c r="D100" i="7"/>
  <c r="C100" i="7"/>
  <c r="D100" i="9" s="1"/>
  <c r="B100" i="7"/>
  <c r="A100" i="7"/>
  <c r="A100" i="9" s="1"/>
  <c r="AF99" i="7"/>
  <c r="AC99" i="7"/>
  <c r="P99" i="7"/>
  <c r="J99" i="7"/>
  <c r="H99" i="7"/>
  <c r="F99" i="7"/>
  <c r="E99" i="7"/>
  <c r="D99" i="7"/>
  <c r="C99" i="7"/>
  <c r="D99" i="9" s="1"/>
  <c r="B99" i="7"/>
  <c r="A99" i="7"/>
  <c r="A99" i="9" s="1"/>
  <c r="AF98" i="7"/>
  <c r="H98" i="7"/>
  <c r="F98" i="7"/>
  <c r="E98" i="7"/>
  <c r="C98" i="7"/>
  <c r="D98" i="9" s="1"/>
  <c r="B98" i="7"/>
  <c r="A98" i="7"/>
  <c r="AC98" i="7" s="1"/>
  <c r="AF97" i="7"/>
  <c r="C97" i="7"/>
  <c r="D97" i="9" s="1"/>
  <c r="B97" i="7"/>
  <c r="A97" i="7"/>
  <c r="AF96" i="7"/>
  <c r="AC96" i="7"/>
  <c r="F96" i="7"/>
  <c r="E96" i="7"/>
  <c r="C96" i="7"/>
  <c r="D96" i="9" s="1"/>
  <c r="B96" i="7"/>
  <c r="A96" i="7"/>
  <c r="AF95" i="7"/>
  <c r="J95" i="7"/>
  <c r="F95" i="7"/>
  <c r="E95" i="7"/>
  <c r="C95" i="7"/>
  <c r="D95" i="9" s="1"/>
  <c r="B95" i="7"/>
  <c r="A95" i="7"/>
  <c r="AF94" i="7"/>
  <c r="C94" i="7"/>
  <c r="D94" i="9" s="1"/>
  <c r="B94" i="7"/>
  <c r="A94" i="7"/>
  <c r="AF93" i="7"/>
  <c r="F93" i="7"/>
  <c r="E93" i="7"/>
  <c r="C93" i="7"/>
  <c r="B93" i="7"/>
  <c r="A93" i="7"/>
  <c r="AF92" i="7"/>
  <c r="J92" i="7"/>
  <c r="H92" i="7"/>
  <c r="F92" i="7"/>
  <c r="E92" i="7"/>
  <c r="C92" i="7"/>
  <c r="D92" i="9" s="1"/>
  <c r="B92" i="7"/>
  <c r="A92" i="7"/>
  <c r="AF91" i="7"/>
  <c r="C91" i="7"/>
  <c r="D91" i="9" s="1"/>
  <c r="B91" i="7"/>
  <c r="A91" i="7"/>
  <c r="AC91" i="7" s="1"/>
  <c r="AF90" i="7"/>
  <c r="AC90" i="7"/>
  <c r="J90" i="7"/>
  <c r="H90" i="7"/>
  <c r="F90" i="7"/>
  <c r="E90" i="7"/>
  <c r="C90" i="7"/>
  <c r="D90" i="9" s="1"/>
  <c r="B90" i="7"/>
  <c r="A90" i="7"/>
  <c r="AF89" i="7"/>
  <c r="C89" i="7"/>
  <c r="D89" i="9" s="1"/>
  <c r="B89" i="7"/>
  <c r="A89" i="7"/>
  <c r="AF88" i="7"/>
  <c r="AC88" i="7"/>
  <c r="F88" i="7"/>
  <c r="E88" i="7"/>
  <c r="C88" i="7"/>
  <c r="D88" i="9" s="1"/>
  <c r="B88" i="7"/>
  <c r="A88" i="7"/>
  <c r="AF87" i="7"/>
  <c r="J87" i="7"/>
  <c r="F87" i="7"/>
  <c r="E87" i="7"/>
  <c r="C87" i="7"/>
  <c r="D87" i="9" s="1"/>
  <c r="B87" i="7"/>
  <c r="A87" i="7"/>
  <c r="AF86" i="7"/>
  <c r="C86" i="7"/>
  <c r="D86" i="9" s="1"/>
  <c r="B86" i="7"/>
  <c r="A86" i="7"/>
  <c r="AF85" i="7"/>
  <c r="F85" i="7"/>
  <c r="E85" i="7"/>
  <c r="C85" i="7"/>
  <c r="B85" i="7"/>
  <c r="A85" i="7"/>
  <c r="AF84" i="7"/>
  <c r="J84" i="7"/>
  <c r="H84" i="7"/>
  <c r="E84" i="7"/>
  <c r="C84" i="7"/>
  <c r="D84" i="9" s="1"/>
  <c r="B84" i="7"/>
  <c r="A84" i="7"/>
  <c r="F84" i="7" s="1"/>
  <c r="AF83" i="7"/>
  <c r="C83" i="7"/>
  <c r="D83" i="9" s="1"/>
  <c r="B83" i="7"/>
  <c r="A83" i="7"/>
  <c r="AF82" i="7"/>
  <c r="AC82" i="7"/>
  <c r="J82" i="7"/>
  <c r="H82" i="7"/>
  <c r="F82" i="7"/>
  <c r="E82" i="7"/>
  <c r="C82" i="7"/>
  <c r="D82" i="9" s="1"/>
  <c r="B82" i="7"/>
  <c r="A82" i="7"/>
  <c r="AF81" i="7"/>
  <c r="C81" i="7"/>
  <c r="D81" i="9" s="1"/>
  <c r="B81" i="7"/>
  <c r="A81" i="7"/>
  <c r="AF80" i="7"/>
  <c r="AC80" i="7"/>
  <c r="F80" i="7"/>
  <c r="E80" i="7"/>
  <c r="C80" i="7"/>
  <c r="D80" i="9" s="1"/>
  <c r="B80" i="7"/>
  <c r="A80" i="7"/>
  <c r="AF79" i="7"/>
  <c r="J79" i="7"/>
  <c r="F79" i="7"/>
  <c r="E79" i="7"/>
  <c r="C79" i="7"/>
  <c r="D79" i="9" s="1"/>
  <c r="B79" i="7"/>
  <c r="A79" i="7"/>
  <c r="AF78" i="7"/>
  <c r="C78" i="7"/>
  <c r="D78" i="9" s="1"/>
  <c r="B78" i="7"/>
  <c r="A78" i="7"/>
  <c r="AF77" i="7"/>
  <c r="F77" i="7"/>
  <c r="E77" i="7"/>
  <c r="C77" i="7"/>
  <c r="B77" i="7"/>
  <c r="A77" i="7"/>
  <c r="AF76" i="7"/>
  <c r="J76" i="7"/>
  <c r="H76" i="7"/>
  <c r="E76" i="7"/>
  <c r="C76" i="7"/>
  <c r="D76" i="9" s="1"/>
  <c r="B76" i="7"/>
  <c r="A76" i="7"/>
  <c r="F76" i="7" s="1"/>
  <c r="AF75" i="7"/>
  <c r="AC75" i="7"/>
  <c r="C75" i="7"/>
  <c r="D75" i="9" s="1"/>
  <c r="B75" i="7"/>
  <c r="A75" i="7"/>
  <c r="AF74" i="7"/>
  <c r="J74" i="7"/>
  <c r="I74" i="7"/>
  <c r="C74" i="7"/>
  <c r="D74" i="9" s="1"/>
  <c r="B74" i="7"/>
  <c r="A74" i="7"/>
  <c r="AF73" i="7"/>
  <c r="J73" i="7"/>
  <c r="F73" i="7"/>
  <c r="C73" i="7"/>
  <c r="D73" i="9" s="1"/>
  <c r="B73" i="7"/>
  <c r="A73" i="7"/>
  <c r="AF72" i="7"/>
  <c r="C72" i="7"/>
  <c r="B72" i="7"/>
  <c r="A72" i="7"/>
  <c r="AF71" i="7"/>
  <c r="M71" i="7"/>
  <c r="J71" i="7"/>
  <c r="E71" i="7"/>
  <c r="D71" i="7"/>
  <c r="C71" i="7"/>
  <c r="B71" i="7"/>
  <c r="A71" i="7"/>
  <c r="AF70" i="7"/>
  <c r="F70" i="7"/>
  <c r="E70" i="7"/>
  <c r="C70" i="7"/>
  <c r="D70" i="9" s="1"/>
  <c r="B70" i="7"/>
  <c r="A70" i="7"/>
  <c r="AF69" i="7"/>
  <c r="AC69" i="7"/>
  <c r="H69" i="7"/>
  <c r="F69" i="7"/>
  <c r="E69" i="7"/>
  <c r="D69" i="7"/>
  <c r="C69" i="7"/>
  <c r="D69" i="9" s="1"/>
  <c r="B69" i="7"/>
  <c r="A69" i="7"/>
  <c r="J69" i="7" s="1"/>
  <c r="AF68" i="7"/>
  <c r="AC68" i="7"/>
  <c r="J68" i="7"/>
  <c r="I68" i="7"/>
  <c r="H68" i="7"/>
  <c r="F68" i="7"/>
  <c r="E68" i="7"/>
  <c r="C68" i="7"/>
  <c r="B68" i="7"/>
  <c r="A68" i="7"/>
  <c r="AF67" i="7"/>
  <c r="AC67" i="7"/>
  <c r="J67" i="7"/>
  <c r="H67" i="7"/>
  <c r="F67" i="7"/>
  <c r="D67" i="7"/>
  <c r="C67" i="7"/>
  <c r="D67" i="9" s="1"/>
  <c r="B67" i="7"/>
  <c r="A67" i="7"/>
  <c r="E67" i="7" s="1"/>
  <c r="AF66" i="7"/>
  <c r="AC66" i="7"/>
  <c r="J66" i="7"/>
  <c r="I66" i="7"/>
  <c r="F66" i="7"/>
  <c r="C66" i="7"/>
  <c r="D66" i="9" s="1"/>
  <c r="B66" i="7"/>
  <c r="A66" i="7"/>
  <c r="AF65" i="7"/>
  <c r="J65" i="7"/>
  <c r="F65" i="7"/>
  <c r="C65" i="7"/>
  <c r="D65" i="9" s="1"/>
  <c r="B65" i="7"/>
  <c r="A65" i="7"/>
  <c r="AF64" i="7"/>
  <c r="C64" i="7"/>
  <c r="B64" i="7"/>
  <c r="A64" i="7"/>
  <c r="AF63" i="7"/>
  <c r="M63" i="7"/>
  <c r="J63" i="7"/>
  <c r="E63" i="7"/>
  <c r="D63" i="7"/>
  <c r="C63" i="7"/>
  <c r="B63" i="7"/>
  <c r="A63" i="7"/>
  <c r="AF62" i="7"/>
  <c r="F62" i="7"/>
  <c r="E62" i="7"/>
  <c r="C62" i="7"/>
  <c r="D62" i="9" s="1"/>
  <c r="B62" i="7"/>
  <c r="A62" i="7"/>
  <c r="AF61" i="7"/>
  <c r="AC61" i="7"/>
  <c r="P61" i="7"/>
  <c r="G61" i="9" s="1"/>
  <c r="H61" i="7"/>
  <c r="F61" i="7"/>
  <c r="E61" i="7"/>
  <c r="D61" i="7"/>
  <c r="C61" i="7"/>
  <c r="D61" i="9" s="1"/>
  <c r="B61" i="7"/>
  <c r="A61" i="7"/>
  <c r="J61" i="7" s="1"/>
  <c r="AF60" i="7"/>
  <c r="AC60" i="7"/>
  <c r="J60" i="7"/>
  <c r="I60" i="7"/>
  <c r="H60" i="7"/>
  <c r="F60" i="7"/>
  <c r="E60" i="7"/>
  <c r="C60" i="7"/>
  <c r="B60" i="7"/>
  <c r="A60" i="7"/>
  <c r="AF59" i="7"/>
  <c r="AC59" i="7"/>
  <c r="J59" i="7"/>
  <c r="H59" i="7"/>
  <c r="F59" i="7"/>
  <c r="D59" i="7"/>
  <c r="C59" i="7"/>
  <c r="D59" i="9" s="1"/>
  <c r="B59" i="7"/>
  <c r="A59" i="7"/>
  <c r="E59" i="7" s="1"/>
  <c r="AF58" i="7"/>
  <c r="C58" i="7"/>
  <c r="D58" i="9" s="1"/>
  <c r="B58" i="7"/>
  <c r="A58" i="7"/>
  <c r="J58" i="7" s="1"/>
  <c r="AF57" i="7"/>
  <c r="J57" i="7"/>
  <c r="F57" i="7"/>
  <c r="C57" i="7"/>
  <c r="D57" i="9" s="1"/>
  <c r="B57" i="7"/>
  <c r="A57" i="7"/>
  <c r="AF56" i="7"/>
  <c r="AC56" i="7"/>
  <c r="I56" i="7"/>
  <c r="C56" i="7"/>
  <c r="B56" i="7"/>
  <c r="A56" i="7"/>
  <c r="AF55" i="7"/>
  <c r="M55" i="7"/>
  <c r="J55" i="7"/>
  <c r="E55" i="7"/>
  <c r="D55" i="7"/>
  <c r="C55" i="7"/>
  <c r="B55" i="7"/>
  <c r="A55" i="7"/>
  <c r="AF54" i="7"/>
  <c r="C54" i="7"/>
  <c r="D54" i="9" s="1"/>
  <c r="B54" i="7"/>
  <c r="A54" i="7"/>
  <c r="F54" i="7" s="1"/>
  <c r="AF53" i="7"/>
  <c r="AC53" i="7"/>
  <c r="P53" i="7"/>
  <c r="G53" i="9" s="1"/>
  <c r="H53" i="7"/>
  <c r="F53" i="7"/>
  <c r="E53" i="7"/>
  <c r="D53" i="7"/>
  <c r="C53" i="7"/>
  <c r="D53" i="9" s="1"/>
  <c r="B53" i="7"/>
  <c r="A53" i="7"/>
  <c r="J53" i="7" s="1"/>
  <c r="AF52" i="7"/>
  <c r="AC52" i="7"/>
  <c r="J52" i="7"/>
  <c r="I52" i="7"/>
  <c r="H52" i="7"/>
  <c r="F52" i="7"/>
  <c r="E52" i="7"/>
  <c r="C52" i="7"/>
  <c r="B52" i="7"/>
  <c r="A52" i="7"/>
  <c r="AF51" i="7"/>
  <c r="AC51" i="7"/>
  <c r="J51" i="7"/>
  <c r="H51" i="7"/>
  <c r="F51" i="7"/>
  <c r="D51" i="7"/>
  <c r="C51" i="7"/>
  <c r="D51" i="9" s="1"/>
  <c r="B51" i="7"/>
  <c r="A51" i="7"/>
  <c r="E51" i="7" s="1"/>
  <c r="AF50" i="7"/>
  <c r="C50" i="7"/>
  <c r="D50" i="9" s="1"/>
  <c r="B50" i="7"/>
  <c r="A50" i="7"/>
  <c r="AF49" i="7"/>
  <c r="J49" i="7"/>
  <c r="F49" i="7"/>
  <c r="C49" i="7"/>
  <c r="D49" i="9" s="1"/>
  <c r="B49" i="7"/>
  <c r="A49" i="7"/>
  <c r="AF48" i="7"/>
  <c r="AC48" i="7"/>
  <c r="J48" i="7"/>
  <c r="E48" i="7"/>
  <c r="D48" i="7"/>
  <c r="C48" i="7"/>
  <c r="B48" i="7"/>
  <c r="A48" i="7"/>
  <c r="AF47" i="7"/>
  <c r="J47" i="7"/>
  <c r="I47" i="7"/>
  <c r="H47" i="7"/>
  <c r="E47" i="7"/>
  <c r="C47" i="7"/>
  <c r="D47" i="9" s="1"/>
  <c r="B47" i="7"/>
  <c r="A47" i="7"/>
  <c r="AF46" i="7"/>
  <c r="AC46" i="7"/>
  <c r="J46" i="7"/>
  <c r="M46" i="7" s="1"/>
  <c r="G46" i="7"/>
  <c r="F46" i="7"/>
  <c r="E46" i="7"/>
  <c r="D46" i="7"/>
  <c r="C46" i="7"/>
  <c r="D46" i="9" s="1"/>
  <c r="B46" i="7"/>
  <c r="A46" i="7"/>
  <c r="A46" i="9" s="1"/>
  <c r="AF45" i="7"/>
  <c r="AC45" i="7"/>
  <c r="J45" i="7"/>
  <c r="G45" i="7"/>
  <c r="F45" i="7"/>
  <c r="E45" i="7"/>
  <c r="D45" i="7"/>
  <c r="M45" i="7" s="1"/>
  <c r="C45" i="7"/>
  <c r="D45" i="9" s="1"/>
  <c r="B45" i="7"/>
  <c r="A45" i="7"/>
  <c r="A45" i="9" s="1"/>
  <c r="AF44" i="7"/>
  <c r="AC44" i="7"/>
  <c r="J44" i="7"/>
  <c r="M44" i="7" s="1"/>
  <c r="G44" i="7"/>
  <c r="F44" i="7"/>
  <c r="E44" i="7"/>
  <c r="D44" i="7"/>
  <c r="C44" i="7"/>
  <c r="D44" i="9" s="1"/>
  <c r="B44" i="7"/>
  <c r="A44" i="7"/>
  <c r="A44" i="9" s="1"/>
  <c r="AF43" i="7"/>
  <c r="AC43" i="7"/>
  <c r="J43" i="7"/>
  <c r="G43" i="7"/>
  <c r="F43" i="7"/>
  <c r="E43" i="7"/>
  <c r="D43" i="7"/>
  <c r="M43" i="7" s="1"/>
  <c r="C43" i="7"/>
  <c r="D43" i="9" s="1"/>
  <c r="B43" i="7"/>
  <c r="A43" i="7"/>
  <c r="A43" i="9" s="1"/>
  <c r="AF42" i="7"/>
  <c r="AC42" i="7"/>
  <c r="J42" i="7"/>
  <c r="M42" i="7" s="1"/>
  <c r="G42" i="7"/>
  <c r="F42" i="7"/>
  <c r="E42" i="7"/>
  <c r="D42" i="7"/>
  <c r="C42" i="7"/>
  <c r="D42" i="9" s="1"/>
  <c r="B42" i="7"/>
  <c r="A42" i="7"/>
  <c r="A42" i="9" s="1"/>
  <c r="AF41" i="7"/>
  <c r="AC41" i="7"/>
  <c r="J41" i="7"/>
  <c r="G41" i="7"/>
  <c r="F41" i="7"/>
  <c r="E41" i="7"/>
  <c r="D41" i="7"/>
  <c r="M41" i="7" s="1"/>
  <c r="C41" i="7"/>
  <c r="D41" i="9" s="1"/>
  <c r="B41" i="7"/>
  <c r="A41" i="7"/>
  <c r="A41" i="9" s="1"/>
  <c r="AF40" i="7"/>
  <c r="AC40" i="7"/>
  <c r="J40" i="7"/>
  <c r="M40" i="7" s="1"/>
  <c r="G40" i="7"/>
  <c r="F40" i="7"/>
  <c r="E40" i="7"/>
  <c r="D40" i="7"/>
  <c r="C40" i="7"/>
  <c r="D40" i="9" s="1"/>
  <c r="B40" i="7"/>
  <c r="A40" i="7"/>
  <c r="A40" i="9" s="1"/>
  <c r="AF39" i="7"/>
  <c r="AC39" i="7"/>
  <c r="J39" i="7"/>
  <c r="G39" i="7"/>
  <c r="F39" i="7"/>
  <c r="E39" i="7"/>
  <c r="D39" i="7"/>
  <c r="M39" i="7" s="1"/>
  <c r="C39" i="7"/>
  <c r="D39" i="9" s="1"/>
  <c r="B39" i="7"/>
  <c r="A39" i="7"/>
  <c r="A39" i="9" s="1"/>
  <c r="AF38" i="7"/>
  <c r="AC38" i="7"/>
  <c r="J38" i="7"/>
  <c r="M38" i="7" s="1"/>
  <c r="G38" i="7"/>
  <c r="F38" i="7"/>
  <c r="E38" i="7"/>
  <c r="D38" i="7"/>
  <c r="C38" i="7"/>
  <c r="D38" i="9" s="1"/>
  <c r="B38" i="7"/>
  <c r="A38" i="7"/>
  <c r="A38" i="9" s="1"/>
  <c r="AF37" i="7"/>
  <c r="AC37" i="7"/>
  <c r="J37" i="7"/>
  <c r="G37" i="7"/>
  <c r="F37" i="7"/>
  <c r="E37" i="7"/>
  <c r="D37" i="7"/>
  <c r="M37" i="7" s="1"/>
  <c r="C37" i="7"/>
  <c r="D37" i="9" s="1"/>
  <c r="B37" i="7"/>
  <c r="A37" i="7"/>
  <c r="A37" i="9" s="1"/>
  <c r="AF36" i="7"/>
  <c r="AC36" i="7"/>
  <c r="M36" i="7"/>
  <c r="J36" i="7"/>
  <c r="F36" i="7"/>
  <c r="E36" i="7"/>
  <c r="D36" i="7"/>
  <c r="C36" i="7"/>
  <c r="D36" i="9" s="1"/>
  <c r="B36" i="7"/>
  <c r="A36" i="7"/>
  <c r="A36" i="9" s="1"/>
  <c r="AF35" i="7"/>
  <c r="AC35" i="7"/>
  <c r="J35" i="7"/>
  <c r="F35" i="7"/>
  <c r="E35" i="7"/>
  <c r="D35" i="7"/>
  <c r="M35" i="7" s="1"/>
  <c r="C35" i="7"/>
  <c r="D35" i="9" s="1"/>
  <c r="B35" i="7"/>
  <c r="A35" i="7"/>
  <c r="A35" i="9" s="1"/>
  <c r="AF34" i="7"/>
  <c r="AC34" i="7"/>
  <c r="J34" i="7"/>
  <c r="F34" i="7"/>
  <c r="E34" i="7"/>
  <c r="D34" i="7"/>
  <c r="C34" i="7"/>
  <c r="D34" i="9" s="1"/>
  <c r="B34" i="7"/>
  <c r="A34" i="7"/>
  <c r="A34" i="9" s="1"/>
  <c r="AF33" i="7"/>
  <c r="AC33" i="7"/>
  <c r="M33" i="7"/>
  <c r="J33" i="7"/>
  <c r="F33" i="7"/>
  <c r="E33" i="7"/>
  <c r="D33" i="7"/>
  <c r="C33" i="7"/>
  <c r="D33" i="9" s="1"/>
  <c r="B33" i="7"/>
  <c r="A33" i="7"/>
  <c r="A33" i="9" s="1"/>
  <c r="AF32" i="7"/>
  <c r="AC32" i="7"/>
  <c r="J32" i="7"/>
  <c r="F32" i="7"/>
  <c r="E32" i="7"/>
  <c r="D32" i="7"/>
  <c r="C32" i="7"/>
  <c r="D32" i="9" s="1"/>
  <c r="B32" i="7"/>
  <c r="A32" i="7"/>
  <c r="A32" i="9" s="1"/>
  <c r="AF31" i="7"/>
  <c r="AC31" i="7"/>
  <c r="J31" i="7"/>
  <c r="F31" i="7"/>
  <c r="E31" i="7"/>
  <c r="D31" i="7"/>
  <c r="C31" i="7"/>
  <c r="D31" i="9" s="1"/>
  <c r="B31" i="7"/>
  <c r="A31" i="7"/>
  <c r="A31" i="9" s="1"/>
  <c r="AF30" i="7"/>
  <c r="AC30" i="7"/>
  <c r="M30" i="7"/>
  <c r="J30" i="7"/>
  <c r="F30" i="7"/>
  <c r="E30" i="7"/>
  <c r="D30" i="7"/>
  <c r="C30" i="7"/>
  <c r="D30" i="9" s="1"/>
  <c r="B30" i="7"/>
  <c r="A30" i="7"/>
  <c r="A30" i="9" s="1"/>
  <c r="AF29" i="7"/>
  <c r="AC29" i="7"/>
  <c r="J29" i="7"/>
  <c r="F29" i="7"/>
  <c r="E29" i="7"/>
  <c r="D29" i="7"/>
  <c r="C29" i="7"/>
  <c r="D29" i="9" s="1"/>
  <c r="B29" i="7"/>
  <c r="A29" i="7"/>
  <c r="A29" i="9" s="1"/>
  <c r="AF28" i="7"/>
  <c r="AC28" i="7"/>
  <c r="J28" i="7"/>
  <c r="M28" i="7" s="1"/>
  <c r="F28" i="7"/>
  <c r="E28" i="7"/>
  <c r="D28" i="7"/>
  <c r="C28" i="7"/>
  <c r="D28" i="9" s="1"/>
  <c r="B28" i="7"/>
  <c r="A28" i="7"/>
  <c r="A28" i="9" s="1"/>
  <c r="AF27" i="7"/>
  <c r="AC27" i="7"/>
  <c r="J27" i="7"/>
  <c r="F27" i="7"/>
  <c r="E27" i="7"/>
  <c r="D27" i="7"/>
  <c r="M27" i="7" s="1"/>
  <c r="C27" i="7"/>
  <c r="D27" i="9" s="1"/>
  <c r="B27" i="7"/>
  <c r="A27" i="7"/>
  <c r="A27" i="9" s="1"/>
  <c r="AF26" i="7"/>
  <c r="AC26" i="7"/>
  <c r="J26" i="7"/>
  <c r="F26" i="7"/>
  <c r="E26" i="7"/>
  <c r="D26" i="7"/>
  <c r="C26" i="7"/>
  <c r="D26" i="9" s="1"/>
  <c r="B26" i="7"/>
  <c r="A26" i="7"/>
  <c r="A26" i="9" s="1"/>
  <c r="AF25" i="7"/>
  <c r="AC25" i="7"/>
  <c r="M25" i="7"/>
  <c r="J25" i="7"/>
  <c r="F25" i="7"/>
  <c r="E25" i="7"/>
  <c r="D25" i="7"/>
  <c r="C25" i="7"/>
  <c r="D25" i="9" s="1"/>
  <c r="B25" i="7"/>
  <c r="A25" i="7"/>
  <c r="A25" i="9" s="1"/>
  <c r="AF24" i="7"/>
  <c r="AC24" i="7"/>
  <c r="J24" i="7"/>
  <c r="F24" i="7"/>
  <c r="E24" i="7"/>
  <c r="D24" i="7"/>
  <c r="C24" i="7"/>
  <c r="D24" i="9" s="1"/>
  <c r="B24" i="7"/>
  <c r="A24" i="7"/>
  <c r="A24" i="9" s="1"/>
  <c r="AF23" i="7"/>
  <c r="AC23" i="7"/>
  <c r="M23" i="7"/>
  <c r="J23" i="7"/>
  <c r="F23" i="7"/>
  <c r="E23" i="7"/>
  <c r="D23" i="7"/>
  <c r="E23" i="9" s="1"/>
  <c r="C23" i="7"/>
  <c r="B23" i="7"/>
  <c r="A23" i="7"/>
  <c r="A23" i="9" s="1"/>
  <c r="AF22" i="7"/>
  <c r="AC22" i="7"/>
  <c r="J22" i="7"/>
  <c r="F22" i="7"/>
  <c r="E22" i="7"/>
  <c r="D22" i="7"/>
  <c r="E22" i="9" s="1"/>
  <c r="C22" i="7"/>
  <c r="B22" i="7"/>
  <c r="A22" i="7"/>
  <c r="A22" i="9" s="1"/>
  <c r="AF21" i="7"/>
  <c r="AC21" i="7"/>
  <c r="J21" i="7"/>
  <c r="F21" i="7"/>
  <c r="E21" i="7"/>
  <c r="D21" i="7"/>
  <c r="E21" i="9" s="1"/>
  <c r="C21" i="7"/>
  <c r="B21" i="7"/>
  <c r="A21" i="7"/>
  <c r="A21" i="9" s="1"/>
  <c r="AF20" i="7"/>
  <c r="AC20" i="7"/>
  <c r="M20" i="7"/>
  <c r="J20" i="7"/>
  <c r="F20" i="7"/>
  <c r="E20" i="7"/>
  <c r="D20" i="7"/>
  <c r="E20" i="9" s="1"/>
  <c r="C20" i="7"/>
  <c r="B20" i="7"/>
  <c r="A20" i="7"/>
  <c r="A20" i="9" s="1"/>
  <c r="AF19" i="7"/>
  <c r="AC19" i="7"/>
  <c r="M19" i="7"/>
  <c r="J19" i="7"/>
  <c r="F19" i="7"/>
  <c r="E19" i="7"/>
  <c r="D19" i="7"/>
  <c r="E19" i="9" s="1"/>
  <c r="C19" i="7"/>
  <c r="B19" i="7"/>
  <c r="A19" i="7"/>
  <c r="A19" i="9" s="1"/>
  <c r="AF18" i="7"/>
  <c r="AC18" i="7"/>
  <c r="J18" i="7"/>
  <c r="F18" i="7"/>
  <c r="E18" i="7"/>
  <c r="D18" i="7"/>
  <c r="E18" i="9" s="1"/>
  <c r="C18" i="7"/>
  <c r="B18" i="7"/>
  <c r="A18" i="7"/>
  <c r="A18" i="9" s="1"/>
  <c r="AF17" i="7"/>
  <c r="AC17" i="7"/>
  <c r="J17" i="7"/>
  <c r="F17" i="7"/>
  <c r="E17" i="7"/>
  <c r="D17" i="7"/>
  <c r="E17" i="9" s="1"/>
  <c r="C17" i="7"/>
  <c r="B17" i="7"/>
  <c r="A17" i="7"/>
  <c r="A17" i="9" s="1"/>
  <c r="AF16" i="7"/>
  <c r="AC16" i="7"/>
  <c r="M16" i="7"/>
  <c r="J16" i="7"/>
  <c r="F16" i="7"/>
  <c r="E16" i="7"/>
  <c r="D16" i="7"/>
  <c r="E16" i="9" s="1"/>
  <c r="C16" i="7"/>
  <c r="B16" i="7"/>
  <c r="A16" i="7"/>
  <c r="A16" i="9" s="1"/>
  <c r="AF15" i="7"/>
  <c r="AC15" i="7"/>
  <c r="M15" i="7"/>
  <c r="J15" i="7"/>
  <c r="F15" i="7"/>
  <c r="E15" i="7"/>
  <c r="D15" i="7"/>
  <c r="E15" i="9" s="1"/>
  <c r="C15" i="7"/>
  <c r="B15" i="7"/>
  <c r="A15" i="7"/>
  <c r="A15" i="9" s="1"/>
  <c r="AF14" i="7"/>
  <c r="AC14" i="7"/>
  <c r="J14" i="7"/>
  <c r="F14" i="7"/>
  <c r="E14" i="7"/>
  <c r="D14" i="7"/>
  <c r="E14" i="9" s="1"/>
  <c r="C14" i="7"/>
  <c r="B14" i="7"/>
  <c r="A14" i="7"/>
  <c r="A14" i="9" s="1"/>
  <c r="AF13" i="7"/>
  <c r="AC13" i="7"/>
  <c r="J13" i="7"/>
  <c r="F13" i="7"/>
  <c r="E13" i="7"/>
  <c r="D13" i="7"/>
  <c r="E13" i="9" s="1"/>
  <c r="C13" i="7"/>
  <c r="B13" i="7"/>
  <c r="A13" i="7"/>
  <c r="A13" i="9" s="1"/>
  <c r="AF12" i="7"/>
  <c r="AC12" i="7"/>
  <c r="M12" i="7"/>
  <c r="J12" i="7"/>
  <c r="F12" i="7"/>
  <c r="E12" i="7"/>
  <c r="D12" i="7"/>
  <c r="E12" i="9" s="1"/>
  <c r="C12" i="7"/>
  <c r="B12" i="7"/>
  <c r="A12" i="7"/>
  <c r="A12" i="9" s="1"/>
  <c r="AF11" i="7"/>
  <c r="AC11" i="7"/>
  <c r="M11" i="7"/>
  <c r="J11" i="7"/>
  <c r="F11" i="7"/>
  <c r="E11" i="7"/>
  <c r="D11" i="7"/>
  <c r="E11" i="9" s="1"/>
  <c r="C11" i="7"/>
  <c r="B11" i="7"/>
  <c r="A11" i="7"/>
  <c r="A11" i="9" s="1"/>
  <c r="AF10" i="7"/>
  <c r="AC10" i="7"/>
  <c r="J10" i="7"/>
  <c r="F10" i="7"/>
  <c r="E10" i="7"/>
  <c r="D10" i="7"/>
  <c r="E10" i="9" s="1"/>
  <c r="C10" i="7"/>
  <c r="B10" i="7"/>
  <c r="A10" i="7"/>
  <c r="A10" i="9" s="1"/>
  <c r="AF9" i="7"/>
  <c r="AC9" i="7"/>
  <c r="J9" i="7"/>
  <c r="F9" i="7"/>
  <c r="E9" i="7"/>
  <c r="D9" i="7"/>
  <c r="E9" i="9" s="1"/>
  <c r="C9" i="7"/>
  <c r="B9" i="7"/>
  <c r="A9" i="7"/>
  <c r="A9" i="9" s="1"/>
  <c r="AF8" i="7"/>
  <c r="AC8" i="7"/>
  <c r="E8" i="7"/>
  <c r="D8" i="7"/>
  <c r="E8" i="9" s="1"/>
  <c r="C8" i="7"/>
  <c r="B8" i="7"/>
  <c r="A8" i="7"/>
  <c r="AF7" i="7"/>
  <c r="AC7" i="7"/>
  <c r="J7" i="7"/>
  <c r="I7" i="7"/>
  <c r="F7" i="7"/>
  <c r="E7" i="7"/>
  <c r="D7" i="7"/>
  <c r="E7" i="9" s="1"/>
  <c r="C7" i="7"/>
  <c r="B7" i="7"/>
  <c r="A7" i="7"/>
  <c r="AF6" i="7"/>
  <c r="AC6" i="7"/>
  <c r="I6" i="7"/>
  <c r="F6" i="7"/>
  <c r="E6" i="7"/>
  <c r="D6" i="7"/>
  <c r="E6" i="9" s="1"/>
  <c r="C6" i="7"/>
  <c r="B6" i="7"/>
  <c r="A6" i="7"/>
  <c r="J6" i="7" s="1"/>
  <c r="M6" i="7" s="1"/>
  <c r="AF5" i="7"/>
  <c r="AC5" i="7"/>
  <c r="J5" i="7"/>
  <c r="I5" i="7"/>
  <c r="F5" i="7"/>
  <c r="E5" i="7"/>
  <c r="D5" i="7"/>
  <c r="E5" i="9" s="1"/>
  <c r="C5" i="7"/>
  <c r="B5" i="7"/>
  <c r="A5" i="7"/>
  <c r="AF4" i="7"/>
  <c r="AC4" i="7"/>
  <c r="J4" i="7"/>
  <c r="I4" i="7"/>
  <c r="C4" i="7"/>
  <c r="B4" i="7"/>
  <c r="A4" i="7"/>
  <c r="F4" i="7" s="1"/>
  <c r="B47" i="6"/>
  <c r="B42" i="6"/>
  <c r="B40" i="6"/>
  <c r="B36" i="6"/>
  <c r="B20" i="6"/>
  <c r="B19" i="6"/>
  <c r="B21" i="6"/>
  <c r="B25" i="2"/>
  <c r="B22" i="2"/>
  <c r="B17" i="2"/>
  <c r="B12" i="2"/>
  <c r="B21" i="2" s="1"/>
  <c r="B16" i="9" l="1"/>
  <c r="D12" i="9"/>
  <c r="P12" i="7"/>
  <c r="G12" i="9" s="1"/>
  <c r="E32" i="9"/>
  <c r="B55" i="9"/>
  <c r="A72" i="9"/>
  <c r="G72" i="7"/>
  <c r="D72" i="7"/>
  <c r="H72" i="7"/>
  <c r="F72" i="7"/>
  <c r="E72" i="7"/>
  <c r="J72" i="7"/>
  <c r="E4" i="7"/>
  <c r="B21" i="9"/>
  <c r="E31" i="9"/>
  <c r="B37" i="9"/>
  <c r="B39" i="9"/>
  <c r="I58" i="7"/>
  <c r="E69" i="9"/>
  <c r="M69" i="7"/>
  <c r="A73" i="9"/>
  <c r="G73" i="7"/>
  <c r="I73" i="7"/>
  <c r="E73" i="7"/>
  <c r="D73" i="7"/>
  <c r="AC73" i="7"/>
  <c r="H73" i="7"/>
  <c r="B75" i="9"/>
  <c r="A97" i="9"/>
  <c r="G97" i="7"/>
  <c r="I97" i="7"/>
  <c r="H97" i="7"/>
  <c r="D97" i="7"/>
  <c r="E97" i="7"/>
  <c r="J97" i="7"/>
  <c r="F97" i="7"/>
  <c r="AC97" i="7"/>
  <c r="G121" i="9"/>
  <c r="E122" i="9"/>
  <c r="M122" i="7"/>
  <c r="B12" i="9"/>
  <c r="B20" i="9"/>
  <c r="E24" i="9"/>
  <c r="A50" i="9"/>
  <c r="G50" i="7"/>
  <c r="D50" i="7"/>
  <c r="E50" i="7"/>
  <c r="H50" i="7"/>
  <c r="A81" i="9"/>
  <c r="G81" i="7"/>
  <c r="I81" i="7"/>
  <c r="H81" i="7"/>
  <c r="D81" i="7"/>
  <c r="E81" i="7"/>
  <c r="J81" i="7"/>
  <c r="F81" i="7"/>
  <c r="AC81" i="7"/>
  <c r="D6" i="9"/>
  <c r="P6" i="7"/>
  <c r="B7" i="9"/>
  <c r="A8" i="9"/>
  <c r="H8" i="7"/>
  <c r="G8" i="7"/>
  <c r="B9" i="9"/>
  <c r="M9" i="7"/>
  <c r="B13" i="9"/>
  <c r="M13" i="7"/>
  <c r="B17" i="9"/>
  <c r="M17" i="7"/>
  <c r="M21" i="7"/>
  <c r="M24" i="7"/>
  <c r="B29" i="9"/>
  <c r="M32" i="7"/>
  <c r="B41" i="9"/>
  <c r="B43" i="9"/>
  <c r="B45" i="9"/>
  <c r="D48" i="9"/>
  <c r="P48" i="7"/>
  <c r="J50" i="7"/>
  <c r="AC58" i="7"/>
  <c r="B65" i="9"/>
  <c r="B23" i="2"/>
  <c r="B35" i="6"/>
  <c r="B39" i="6"/>
  <c r="D7" i="9"/>
  <c r="P7" i="7"/>
  <c r="M7" i="7"/>
  <c r="B8" i="9"/>
  <c r="D9" i="9"/>
  <c r="P9" i="7"/>
  <c r="D13" i="9"/>
  <c r="P13" i="7"/>
  <c r="D17" i="9"/>
  <c r="P17" i="7"/>
  <c r="D21" i="9"/>
  <c r="P21" i="7"/>
  <c r="B24" i="9"/>
  <c r="E26" i="9"/>
  <c r="B32" i="9"/>
  <c r="E34" i="9"/>
  <c r="E48" i="9"/>
  <c r="A56" i="9"/>
  <c r="G56" i="7"/>
  <c r="D56" i="7"/>
  <c r="H56" i="7"/>
  <c r="F56" i="7"/>
  <c r="E56" i="7"/>
  <c r="J56" i="7"/>
  <c r="B73" i="9"/>
  <c r="A83" i="9"/>
  <c r="G83" i="7"/>
  <c r="I83" i="7"/>
  <c r="H83" i="7"/>
  <c r="D83" i="7"/>
  <c r="P83" i="7" s="1"/>
  <c r="J83" i="7"/>
  <c r="F83" i="7"/>
  <c r="E83" i="7"/>
  <c r="A94" i="9"/>
  <c r="G94" i="7"/>
  <c r="D94" i="7"/>
  <c r="I94" i="7"/>
  <c r="F94" i="7"/>
  <c r="E94" i="7"/>
  <c r="J94" i="7"/>
  <c r="H94" i="7"/>
  <c r="AC94" i="7"/>
  <c r="D8" i="9"/>
  <c r="P8" i="7"/>
  <c r="B27" i="9"/>
  <c r="E29" i="9"/>
  <c r="B35" i="9"/>
  <c r="E37" i="9"/>
  <c r="E39" i="9"/>
  <c r="E41" i="9"/>
  <c r="E43" i="9"/>
  <c r="E45" i="9"/>
  <c r="B56" i="9"/>
  <c r="A64" i="9"/>
  <c r="G64" i="7"/>
  <c r="D64" i="7"/>
  <c r="H64" i="7"/>
  <c r="F64" i="7"/>
  <c r="E64" i="7"/>
  <c r="J64" i="7"/>
  <c r="B80" i="9"/>
  <c r="B83" i="9"/>
  <c r="D93" i="9"/>
  <c r="P93" i="7"/>
  <c r="B94" i="9"/>
  <c r="E101" i="9"/>
  <c r="M101" i="7"/>
  <c r="D104" i="9"/>
  <c r="P104" i="7"/>
  <c r="E108" i="9"/>
  <c r="M108" i="7"/>
  <c r="G91" i="7"/>
  <c r="A91" i="9"/>
  <c r="I91" i="7"/>
  <c r="H91" i="7"/>
  <c r="D91" i="7"/>
  <c r="J91" i="7"/>
  <c r="F91" i="7"/>
  <c r="E91" i="7"/>
  <c r="D111" i="9"/>
  <c r="P111" i="7"/>
  <c r="E125" i="9"/>
  <c r="M125" i="7"/>
  <c r="B126" i="9"/>
  <c r="B37" i="6"/>
  <c r="B4" i="9"/>
  <c r="A5" i="9"/>
  <c r="H5" i="7"/>
  <c r="G5" i="7"/>
  <c r="K5" i="7"/>
  <c r="L5" i="7" s="1"/>
  <c r="F8" i="7"/>
  <c r="D11" i="9"/>
  <c r="P11" i="7"/>
  <c r="G11" i="9" s="1"/>
  <c r="D15" i="9"/>
  <c r="P15" i="7"/>
  <c r="G15" i="9" s="1"/>
  <c r="D19" i="9"/>
  <c r="P19" i="7"/>
  <c r="G19" i="9" s="1"/>
  <c r="D23" i="9"/>
  <c r="P23" i="7"/>
  <c r="G23" i="9" s="1"/>
  <c r="B28" i="9"/>
  <c r="E30" i="9"/>
  <c r="M31" i="7"/>
  <c r="B36" i="9"/>
  <c r="M48" i="7"/>
  <c r="A49" i="9"/>
  <c r="G49" i="7"/>
  <c r="I49" i="7"/>
  <c r="E49" i="7"/>
  <c r="D49" i="7"/>
  <c r="AC49" i="7"/>
  <c r="H49" i="7"/>
  <c r="E51" i="9"/>
  <c r="M51" i="7"/>
  <c r="P51" i="7"/>
  <c r="E55" i="9"/>
  <c r="K55" i="7"/>
  <c r="L55" i="7" s="1"/>
  <c r="D60" i="9"/>
  <c r="B61" i="9"/>
  <c r="A62" i="9"/>
  <c r="G62" i="7"/>
  <c r="D62" i="7"/>
  <c r="J62" i="7"/>
  <c r="AC62" i="7"/>
  <c r="I62" i="7"/>
  <c r="H62" i="7"/>
  <c r="D63" i="9"/>
  <c r="P63" i="7"/>
  <c r="G63" i="9" s="1"/>
  <c r="I64" i="7"/>
  <c r="AC64" i="7"/>
  <c r="A66" i="9"/>
  <c r="G66" i="7"/>
  <c r="D66" i="7"/>
  <c r="E66" i="7"/>
  <c r="H66" i="7"/>
  <c r="B71" i="9"/>
  <c r="D72" i="9"/>
  <c r="A74" i="9"/>
  <c r="G74" i="7"/>
  <c r="D74" i="7"/>
  <c r="E74" i="7"/>
  <c r="H74" i="7"/>
  <c r="AC74" i="7"/>
  <c r="F74" i="7"/>
  <c r="D77" i="9"/>
  <c r="B78" i="9"/>
  <c r="A89" i="9"/>
  <c r="G89" i="7"/>
  <c r="I89" i="7"/>
  <c r="H89" i="7"/>
  <c r="D89" i="7"/>
  <c r="E89" i="7"/>
  <c r="J89" i="7"/>
  <c r="F89" i="7"/>
  <c r="AC89" i="7"/>
  <c r="B102" i="9"/>
  <c r="B109" i="9"/>
  <c r="B51" i="6"/>
  <c r="B49" i="6"/>
  <c r="B17" i="11" s="1"/>
  <c r="D16" i="9"/>
  <c r="P16" i="7"/>
  <c r="G16" i="9" s="1"/>
  <c r="D20" i="9"/>
  <c r="P20" i="7"/>
  <c r="G20" i="9" s="1"/>
  <c r="B30" i="9"/>
  <c r="D56" i="9"/>
  <c r="P56" i="7"/>
  <c r="B64" i="9"/>
  <c r="A4" i="9"/>
  <c r="H4" i="7"/>
  <c r="G4" i="7"/>
  <c r="B15" i="9"/>
  <c r="B19" i="9"/>
  <c r="E27" i="9"/>
  <c r="E35" i="9"/>
  <c r="K35" i="7"/>
  <c r="B38" i="9"/>
  <c r="B40" i="9"/>
  <c r="B42" i="9"/>
  <c r="B44" i="9"/>
  <c r="D55" i="9"/>
  <c r="P55" i="7"/>
  <c r="G55" i="9" s="1"/>
  <c r="A58" i="9"/>
  <c r="G58" i="7"/>
  <c r="D58" i="7"/>
  <c r="E58" i="7"/>
  <c r="H58" i="7"/>
  <c r="B63" i="9"/>
  <c r="B72" i="9"/>
  <c r="B13" i="2"/>
  <c r="B9" i="10" s="1"/>
  <c r="B23" i="6"/>
  <c r="B34" i="6"/>
  <c r="D4" i="9"/>
  <c r="P4" i="7"/>
  <c r="B5" i="9"/>
  <c r="A6" i="9"/>
  <c r="H6" i="7"/>
  <c r="G6" i="7"/>
  <c r="K6" i="7"/>
  <c r="L6" i="7" s="1"/>
  <c r="I8" i="7"/>
  <c r="K8" i="7" s="1"/>
  <c r="L8" i="7" s="1"/>
  <c r="B10" i="9"/>
  <c r="M10" i="7"/>
  <c r="B14" i="9"/>
  <c r="M14" i="7"/>
  <c r="B18" i="9"/>
  <c r="M18" i="7"/>
  <c r="B22" i="9"/>
  <c r="M22" i="7"/>
  <c r="E25" i="9"/>
  <c r="M26" i="7"/>
  <c r="B31" i="9"/>
  <c r="E33" i="9"/>
  <c r="M34" i="7"/>
  <c r="E38" i="9"/>
  <c r="E40" i="9"/>
  <c r="E42" i="9"/>
  <c r="K42" i="7"/>
  <c r="L42" i="7" s="1"/>
  <c r="E44" i="9"/>
  <c r="E46" i="9"/>
  <c r="P46" i="7"/>
  <c r="G46" i="9" s="1"/>
  <c r="A47" i="9"/>
  <c r="G47" i="7"/>
  <c r="D47" i="7"/>
  <c r="AC47" i="7"/>
  <c r="F47" i="7"/>
  <c r="G48" i="7"/>
  <c r="A48" i="9"/>
  <c r="I48" i="7"/>
  <c r="K48" i="7" s="1"/>
  <c r="H48" i="7"/>
  <c r="F48" i="7"/>
  <c r="B49" i="9"/>
  <c r="F50" i="7"/>
  <c r="E53" i="9"/>
  <c r="M53" i="7"/>
  <c r="A57" i="9"/>
  <c r="G57" i="7"/>
  <c r="I57" i="7"/>
  <c r="E57" i="7"/>
  <c r="D57" i="7"/>
  <c r="AC57" i="7"/>
  <c r="H57" i="7"/>
  <c r="E59" i="9"/>
  <c r="M59" i="7"/>
  <c r="K59" i="7"/>
  <c r="P59" i="7"/>
  <c r="E63" i="9"/>
  <c r="D68" i="9"/>
  <c r="B69" i="9"/>
  <c r="P69" i="7"/>
  <c r="G69" i="9" s="1"/>
  <c r="A70" i="9"/>
  <c r="G70" i="7"/>
  <c r="D70" i="7"/>
  <c r="J70" i="7"/>
  <c r="AC70" i="7"/>
  <c r="I70" i="7"/>
  <c r="H70" i="7"/>
  <c r="D71" i="9"/>
  <c r="P71" i="7"/>
  <c r="I72" i="7"/>
  <c r="AC72" i="7"/>
  <c r="A86" i="9"/>
  <c r="G86" i="7"/>
  <c r="D86" i="7"/>
  <c r="I86" i="7"/>
  <c r="F86" i="7"/>
  <c r="E86" i="7"/>
  <c r="J86" i="7"/>
  <c r="H86" i="7"/>
  <c r="AC86" i="7"/>
  <c r="D102" i="9"/>
  <c r="P102" i="7"/>
  <c r="D109" i="9"/>
  <c r="P109" i="7"/>
  <c r="G109" i="9" s="1"/>
  <c r="E140" i="9"/>
  <c r="K140" i="7"/>
  <c r="L140" i="7" s="1"/>
  <c r="B11" i="9"/>
  <c r="B23" i="9"/>
  <c r="B25" i="9"/>
  <c r="B33" i="9"/>
  <c r="B46" i="9"/>
  <c r="D52" i="9"/>
  <c r="P52" i="7"/>
  <c r="B53" i="9"/>
  <c r="A54" i="9"/>
  <c r="G54" i="7"/>
  <c r="D54" i="7"/>
  <c r="J54" i="7"/>
  <c r="AC54" i="7"/>
  <c r="I54" i="7"/>
  <c r="H54" i="7"/>
  <c r="D64" i="9"/>
  <c r="A78" i="9"/>
  <c r="G78" i="7"/>
  <c r="D78" i="7"/>
  <c r="I78" i="7"/>
  <c r="F78" i="7"/>
  <c r="E78" i="7"/>
  <c r="J78" i="7"/>
  <c r="H78" i="7"/>
  <c r="AC78" i="7"/>
  <c r="B88" i="9"/>
  <c r="B91" i="9"/>
  <c r="G99" i="9"/>
  <c r="E111" i="9"/>
  <c r="M111" i="7"/>
  <c r="G113" i="9"/>
  <c r="B124" i="9"/>
  <c r="B41" i="6"/>
  <c r="B22" i="6"/>
  <c r="B38" i="6"/>
  <c r="D4" i="7"/>
  <c r="D5" i="9"/>
  <c r="P5" i="7"/>
  <c r="M5" i="7"/>
  <c r="B6" i="9"/>
  <c r="A7" i="9"/>
  <c r="H7" i="7"/>
  <c r="G7" i="7"/>
  <c r="K7" i="7"/>
  <c r="J8" i="7"/>
  <c r="M8" i="7" s="1"/>
  <c r="D10" i="9"/>
  <c r="P10" i="7"/>
  <c r="D14" i="9"/>
  <c r="P14" i="7"/>
  <c r="D18" i="9"/>
  <c r="P18" i="7"/>
  <c r="D22" i="9"/>
  <c r="P22" i="7"/>
  <c r="B26" i="9"/>
  <c r="E28" i="9"/>
  <c r="M29" i="7"/>
  <c r="B34" i="9"/>
  <c r="E36" i="9"/>
  <c r="I50" i="7"/>
  <c r="AC50" i="7"/>
  <c r="E54" i="7"/>
  <c r="B57" i="9"/>
  <c r="F58" i="7"/>
  <c r="E61" i="9"/>
  <c r="M61" i="7"/>
  <c r="A65" i="9"/>
  <c r="G65" i="7"/>
  <c r="I65" i="7"/>
  <c r="E65" i="7"/>
  <c r="D65" i="7"/>
  <c r="AC65" i="7"/>
  <c r="H65" i="7"/>
  <c r="E67" i="9"/>
  <c r="M67" i="7"/>
  <c r="P67" i="7"/>
  <c r="E71" i="9"/>
  <c r="K71" i="7"/>
  <c r="L71" i="7" s="1"/>
  <c r="A75" i="9"/>
  <c r="G75" i="7"/>
  <c r="I75" i="7"/>
  <c r="H75" i="7"/>
  <c r="D75" i="7"/>
  <c r="J75" i="7"/>
  <c r="F75" i="7"/>
  <c r="E75" i="7"/>
  <c r="AC83" i="7"/>
  <c r="D85" i="9"/>
  <c r="B86" i="9"/>
  <c r="B96" i="9"/>
  <c r="E99" i="9"/>
  <c r="M99" i="7"/>
  <c r="B118" i="9"/>
  <c r="B132" i="9"/>
  <c r="A77" i="9"/>
  <c r="G77" i="7"/>
  <c r="I77" i="7"/>
  <c r="H77" i="7"/>
  <c r="D77" i="7"/>
  <c r="AC77" i="7"/>
  <c r="B82" i="9"/>
  <c r="A85" i="9"/>
  <c r="G85" i="7"/>
  <c r="I85" i="7"/>
  <c r="H85" i="7"/>
  <c r="D85" i="7"/>
  <c r="AC85" i="7"/>
  <c r="B90" i="9"/>
  <c r="A93" i="9"/>
  <c r="G93" i="7"/>
  <c r="I93" i="7"/>
  <c r="H93" i="7"/>
  <c r="D93" i="7"/>
  <c r="AC93" i="7"/>
  <c r="B98" i="9"/>
  <c r="B101" i="9"/>
  <c r="E136" i="9"/>
  <c r="M136" i="7"/>
  <c r="K136" i="7"/>
  <c r="L136" i="7" s="1"/>
  <c r="A137" i="9"/>
  <c r="H137" i="7"/>
  <c r="F137" i="7"/>
  <c r="I137" i="7"/>
  <c r="AC137" i="7"/>
  <c r="D137" i="7"/>
  <c r="J137" i="7"/>
  <c r="G137" i="7"/>
  <c r="E137" i="7"/>
  <c r="D168" i="9"/>
  <c r="B48" i="9"/>
  <c r="B54" i="9"/>
  <c r="G55" i="7"/>
  <c r="A55" i="9"/>
  <c r="I55" i="7"/>
  <c r="B62" i="9"/>
  <c r="G63" i="7"/>
  <c r="A63" i="9"/>
  <c r="I63" i="7"/>
  <c r="K63" i="7" s="1"/>
  <c r="L63" i="7" s="1"/>
  <c r="B70" i="9"/>
  <c r="G71" i="7"/>
  <c r="A71" i="9"/>
  <c r="I71" i="7"/>
  <c r="B77" i="9"/>
  <c r="A80" i="9"/>
  <c r="G80" i="7"/>
  <c r="D80" i="7"/>
  <c r="I80" i="7"/>
  <c r="B85" i="9"/>
  <c r="A88" i="9"/>
  <c r="G88" i="7"/>
  <c r="D88" i="7"/>
  <c r="I88" i="7"/>
  <c r="B93" i="9"/>
  <c r="A96" i="9"/>
  <c r="G96" i="7"/>
  <c r="D96" i="7"/>
  <c r="I96" i="7"/>
  <c r="D101" i="9"/>
  <c r="P101" i="7"/>
  <c r="E103" i="9"/>
  <c r="M103" i="7"/>
  <c r="P103" i="7"/>
  <c r="B106" i="9"/>
  <c r="P108" i="7"/>
  <c r="B111" i="9"/>
  <c r="E154" i="9"/>
  <c r="K154" i="7"/>
  <c r="L154" i="7" s="1"/>
  <c r="M154" i="7"/>
  <c r="A156" i="9"/>
  <c r="H156" i="7"/>
  <c r="G156" i="7"/>
  <c r="F156" i="7"/>
  <c r="I156" i="7"/>
  <c r="K156" i="7" s="1"/>
  <c r="L156" i="7" s="1"/>
  <c r="AC156" i="7"/>
  <c r="J156" i="7"/>
  <c r="M156" i="7" s="1"/>
  <c r="D183" i="9"/>
  <c r="P183" i="7"/>
  <c r="A144" i="9"/>
  <c r="H144" i="7"/>
  <c r="E144" i="7"/>
  <c r="AC144" i="7"/>
  <c r="F144" i="7"/>
  <c r="D144" i="7"/>
  <c r="J144" i="7"/>
  <c r="I144" i="7"/>
  <c r="G144" i="7"/>
  <c r="A179" i="9"/>
  <c r="H179" i="7"/>
  <c r="G179" i="7"/>
  <c r="F179" i="7"/>
  <c r="E179" i="7"/>
  <c r="J179" i="7"/>
  <c r="I179" i="7"/>
  <c r="AC179" i="7"/>
  <c r="A182" i="9"/>
  <c r="H182" i="7"/>
  <c r="G182" i="7"/>
  <c r="F182" i="7"/>
  <c r="AC182" i="7"/>
  <c r="D182" i="7"/>
  <c r="I182" i="7"/>
  <c r="J182" i="7"/>
  <c r="E182" i="7"/>
  <c r="B144" i="9"/>
  <c r="G11" i="8"/>
  <c r="I11" i="8"/>
  <c r="H11" i="8"/>
  <c r="C11" i="8"/>
  <c r="F11" i="8"/>
  <c r="E11" i="8"/>
  <c r="B11" i="8"/>
  <c r="D11" i="8"/>
  <c r="E146" i="9"/>
  <c r="K146" i="7"/>
  <c r="E156" i="9"/>
  <c r="D164" i="9"/>
  <c r="P164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B47" i="9"/>
  <c r="B50" i="9"/>
  <c r="A51" i="9"/>
  <c r="G51" i="7"/>
  <c r="I51" i="7"/>
  <c r="K51" i="7" s="1"/>
  <c r="B58" i="9"/>
  <c r="A59" i="9"/>
  <c r="G59" i="7"/>
  <c r="I59" i="7"/>
  <c r="B66" i="9"/>
  <c r="A67" i="9"/>
  <c r="G67" i="7"/>
  <c r="I67" i="7"/>
  <c r="K67" i="7" s="1"/>
  <c r="B74" i="9"/>
  <c r="A76" i="9"/>
  <c r="G76" i="7"/>
  <c r="D76" i="7"/>
  <c r="I76" i="7"/>
  <c r="J77" i="7"/>
  <c r="B81" i="9"/>
  <c r="A84" i="9"/>
  <c r="G84" i="7"/>
  <c r="D84" i="7"/>
  <c r="I84" i="7"/>
  <c r="J85" i="7"/>
  <c r="B89" i="9"/>
  <c r="A92" i="9"/>
  <c r="G92" i="7"/>
  <c r="D92" i="7"/>
  <c r="I92" i="7"/>
  <c r="J93" i="7"/>
  <c r="B97" i="9"/>
  <c r="G107" i="9"/>
  <c r="E109" i="9"/>
  <c r="E114" i="9"/>
  <c r="E135" i="9"/>
  <c r="M135" i="7"/>
  <c r="E156" i="7"/>
  <c r="B161" i="9"/>
  <c r="E164" i="9"/>
  <c r="M164" i="7"/>
  <c r="D179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P24" i="7"/>
  <c r="H25" i="7"/>
  <c r="P25" i="7"/>
  <c r="G25" i="9" s="1"/>
  <c r="H26" i="7"/>
  <c r="P26" i="7"/>
  <c r="H27" i="7"/>
  <c r="P27" i="7"/>
  <c r="G27" i="9" s="1"/>
  <c r="H28" i="7"/>
  <c r="P28" i="7"/>
  <c r="H29" i="7"/>
  <c r="P29" i="7"/>
  <c r="H30" i="7"/>
  <c r="P30" i="7"/>
  <c r="G30" i="9" s="1"/>
  <c r="H31" i="7"/>
  <c r="P31" i="7"/>
  <c r="H32" i="7"/>
  <c r="P32" i="7"/>
  <c r="H33" i="7"/>
  <c r="P33" i="7"/>
  <c r="G33" i="9" s="1"/>
  <c r="H34" i="7"/>
  <c r="P34" i="7"/>
  <c r="H35" i="7"/>
  <c r="P35" i="7"/>
  <c r="H36" i="7"/>
  <c r="P36" i="7"/>
  <c r="H37" i="7"/>
  <c r="P37" i="7"/>
  <c r="H38" i="7"/>
  <c r="P38" i="7"/>
  <c r="G38" i="9" s="1"/>
  <c r="H39" i="7"/>
  <c r="P39" i="7"/>
  <c r="H40" i="7"/>
  <c r="P40" i="7"/>
  <c r="H41" i="7"/>
  <c r="P41" i="7"/>
  <c r="H42" i="7"/>
  <c r="P42" i="7"/>
  <c r="H43" i="7"/>
  <c r="P43" i="7"/>
  <c r="H44" i="7"/>
  <c r="P44" i="7"/>
  <c r="H45" i="7"/>
  <c r="P45" i="7"/>
  <c r="H46" i="7"/>
  <c r="B51" i="9"/>
  <c r="G52" i="7"/>
  <c r="A52" i="9"/>
  <c r="D52" i="7"/>
  <c r="F55" i="7"/>
  <c r="B59" i="9"/>
  <c r="A60" i="9"/>
  <c r="G60" i="7"/>
  <c r="D60" i="7"/>
  <c r="F63" i="7"/>
  <c r="N63" i="7" s="1"/>
  <c r="B67" i="9"/>
  <c r="A68" i="9"/>
  <c r="G68" i="7"/>
  <c r="D68" i="7"/>
  <c r="F71" i="7"/>
  <c r="B76" i="9"/>
  <c r="AC76" i="7"/>
  <c r="A79" i="9"/>
  <c r="G79" i="7"/>
  <c r="I79" i="7"/>
  <c r="H79" i="7"/>
  <c r="D79" i="7"/>
  <c r="AC79" i="7"/>
  <c r="H80" i="7"/>
  <c r="B84" i="9"/>
  <c r="AC84" i="7"/>
  <c r="G87" i="7"/>
  <c r="A87" i="9"/>
  <c r="I87" i="7"/>
  <c r="H87" i="7"/>
  <c r="D87" i="7"/>
  <c r="AC87" i="7"/>
  <c r="H88" i="7"/>
  <c r="B92" i="9"/>
  <c r="AC92" i="7"/>
  <c r="G95" i="7"/>
  <c r="A95" i="9"/>
  <c r="I95" i="7"/>
  <c r="H95" i="7"/>
  <c r="D95" i="7"/>
  <c r="AC95" i="7"/>
  <c r="H96" i="7"/>
  <c r="P100" i="7"/>
  <c r="B105" i="9"/>
  <c r="E107" i="9"/>
  <c r="M107" i="7"/>
  <c r="B110" i="9"/>
  <c r="E113" i="9"/>
  <c r="M113" i="7"/>
  <c r="D117" i="9"/>
  <c r="P117" i="7"/>
  <c r="B139" i="9"/>
  <c r="B158" i="9"/>
  <c r="A166" i="9"/>
  <c r="H166" i="7"/>
  <c r="G166" i="7"/>
  <c r="F166" i="7"/>
  <c r="AC166" i="7"/>
  <c r="D166" i="7"/>
  <c r="I166" i="7"/>
  <c r="J166" i="7"/>
  <c r="E166" i="7"/>
  <c r="D169" i="9"/>
  <c r="A185" i="9"/>
  <c r="H185" i="7"/>
  <c r="G185" i="7"/>
  <c r="F185" i="7"/>
  <c r="E185" i="7"/>
  <c r="AC185" i="7"/>
  <c r="D185" i="7"/>
  <c r="J185" i="7"/>
  <c r="I185" i="7"/>
  <c r="I9" i="7"/>
  <c r="K9" i="7" s="1"/>
  <c r="I10" i="7"/>
  <c r="K10" i="7" s="1"/>
  <c r="L10" i="7" s="1"/>
  <c r="I11" i="7"/>
  <c r="K11" i="7" s="1"/>
  <c r="I12" i="7"/>
  <c r="K12" i="7" s="1"/>
  <c r="I13" i="7"/>
  <c r="K13" i="7" s="1"/>
  <c r="I14" i="7"/>
  <c r="K14" i="7" s="1"/>
  <c r="I15" i="7"/>
  <c r="K15" i="7" s="1"/>
  <c r="L15" i="7" s="1"/>
  <c r="I16" i="7"/>
  <c r="K16" i="7" s="1"/>
  <c r="I17" i="7"/>
  <c r="K17" i="7" s="1"/>
  <c r="I18" i="7"/>
  <c r="K18" i="7" s="1"/>
  <c r="L18" i="7" s="1"/>
  <c r="I19" i="7"/>
  <c r="K19" i="7" s="1"/>
  <c r="I20" i="7"/>
  <c r="K20" i="7" s="1"/>
  <c r="I21" i="7"/>
  <c r="K21" i="7" s="1"/>
  <c r="I22" i="7"/>
  <c r="K22" i="7" s="1"/>
  <c r="I23" i="7"/>
  <c r="K23" i="7" s="1"/>
  <c r="L23" i="7" s="1"/>
  <c r="I24" i="7"/>
  <c r="K24" i="7" s="1"/>
  <c r="I25" i="7"/>
  <c r="K25" i="7" s="1"/>
  <c r="I26" i="7"/>
  <c r="K26" i="7" s="1"/>
  <c r="I27" i="7"/>
  <c r="K27" i="7" s="1"/>
  <c r="I28" i="7"/>
  <c r="K28" i="7" s="1"/>
  <c r="I29" i="7"/>
  <c r="K29" i="7" s="1"/>
  <c r="I30" i="7"/>
  <c r="K30" i="7" s="1"/>
  <c r="I31" i="7"/>
  <c r="K31" i="7" s="1"/>
  <c r="I32" i="7"/>
  <c r="K32" i="7" s="1"/>
  <c r="I33" i="7"/>
  <c r="K33" i="7" s="1"/>
  <c r="I34" i="7"/>
  <c r="K34" i="7" s="1"/>
  <c r="I35" i="7"/>
  <c r="I36" i="7"/>
  <c r="K36" i="7" s="1"/>
  <c r="I37" i="7"/>
  <c r="K37" i="7" s="1"/>
  <c r="I38" i="7"/>
  <c r="K38" i="7" s="1"/>
  <c r="I39" i="7"/>
  <c r="K39" i="7" s="1"/>
  <c r="I40" i="7"/>
  <c r="K40" i="7" s="1"/>
  <c r="I41" i="7"/>
  <c r="K41" i="7" s="1"/>
  <c r="I42" i="7"/>
  <c r="I43" i="7"/>
  <c r="K43" i="7" s="1"/>
  <c r="I44" i="7"/>
  <c r="K44" i="7" s="1"/>
  <c r="I45" i="7"/>
  <c r="K45" i="7" s="1"/>
  <c r="I46" i="7"/>
  <c r="K46" i="7" s="1"/>
  <c r="P49" i="7"/>
  <c r="B52" i="9"/>
  <c r="A53" i="9"/>
  <c r="G53" i="7"/>
  <c r="I53" i="7"/>
  <c r="K53" i="7" s="1"/>
  <c r="H55" i="7"/>
  <c r="AC55" i="7"/>
  <c r="P57" i="7"/>
  <c r="B60" i="9"/>
  <c r="A61" i="9"/>
  <c r="G61" i="7"/>
  <c r="I61" i="7"/>
  <c r="K61" i="7" s="1"/>
  <c r="H63" i="7"/>
  <c r="AC63" i="7"/>
  <c r="P65" i="7"/>
  <c r="B68" i="9"/>
  <c r="A69" i="9"/>
  <c r="G69" i="7"/>
  <c r="I69" i="7"/>
  <c r="K69" i="7" s="1"/>
  <c r="H71" i="7"/>
  <c r="AC71" i="7"/>
  <c r="P73" i="7"/>
  <c r="B79" i="9"/>
  <c r="P79" i="7"/>
  <c r="J80" i="7"/>
  <c r="A82" i="9"/>
  <c r="G82" i="7"/>
  <c r="D82" i="7"/>
  <c r="I82" i="7"/>
  <c r="B87" i="9"/>
  <c r="P87" i="7"/>
  <c r="J88" i="7"/>
  <c r="A90" i="9"/>
  <c r="G90" i="7"/>
  <c r="D90" i="7"/>
  <c r="I90" i="7"/>
  <c r="B95" i="9"/>
  <c r="P95" i="7"/>
  <c r="J96" i="7"/>
  <c r="A98" i="9"/>
  <c r="G98" i="7"/>
  <c r="I98" i="7"/>
  <c r="D98" i="7"/>
  <c r="J98" i="7"/>
  <c r="E100" i="9"/>
  <c r="B103" i="9"/>
  <c r="D105" i="9"/>
  <c r="P105" i="7"/>
  <c r="B116" i="9"/>
  <c r="E117" i="9"/>
  <c r="M117" i="7"/>
  <c r="D139" i="9"/>
  <c r="P139" i="7"/>
  <c r="B150" i="9"/>
  <c r="B166" i="9"/>
  <c r="E167" i="9"/>
  <c r="K167" i="7"/>
  <c r="L167" i="7" s="1"/>
  <c r="P126" i="7"/>
  <c r="D126" i="9"/>
  <c r="B127" i="9"/>
  <c r="D132" i="9"/>
  <c r="P132" i="7"/>
  <c r="D133" i="9"/>
  <c r="B140" i="9"/>
  <c r="B145" i="9"/>
  <c r="B156" i="9"/>
  <c r="D158" i="9"/>
  <c r="B159" i="9"/>
  <c r="A162" i="9"/>
  <c r="H162" i="7"/>
  <c r="G162" i="7"/>
  <c r="F162" i="7"/>
  <c r="D162" i="7"/>
  <c r="J162" i="7"/>
  <c r="A168" i="9"/>
  <c r="H168" i="7"/>
  <c r="G168" i="7"/>
  <c r="F168" i="7"/>
  <c r="AC168" i="7"/>
  <c r="D168" i="7"/>
  <c r="J168" i="7"/>
  <c r="I168" i="7"/>
  <c r="B180" i="9"/>
  <c r="B181" i="9"/>
  <c r="B104" i="9"/>
  <c r="E116" i="9"/>
  <c r="M116" i="7"/>
  <c r="P116" i="7"/>
  <c r="E121" i="9"/>
  <c r="M121" i="7"/>
  <c r="K121" i="7"/>
  <c r="D122" i="9"/>
  <c r="P122" i="7"/>
  <c r="B123" i="9"/>
  <c r="A131" i="9"/>
  <c r="H131" i="7"/>
  <c r="D131" i="7"/>
  <c r="F131" i="7"/>
  <c r="AC131" i="7"/>
  <c r="E131" i="7"/>
  <c r="J131" i="7"/>
  <c r="B138" i="9"/>
  <c r="D141" i="9"/>
  <c r="E142" i="9"/>
  <c r="M142" i="7"/>
  <c r="D145" i="9"/>
  <c r="P145" i="7"/>
  <c r="A150" i="9"/>
  <c r="H150" i="7"/>
  <c r="F150" i="7"/>
  <c r="AC150" i="7"/>
  <c r="E150" i="7"/>
  <c r="I150" i="7"/>
  <c r="G150" i="7"/>
  <c r="D150" i="7"/>
  <c r="D154" i="9"/>
  <c r="P154" i="7"/>
  <c r="D159" i="9"/>
  <c r="P159" i="7"/>
  <c r="AC162" i="7"/>
  <c r="A169" i="9"/>
  <c r="H169" i="7"/>
  <c r="G169" i="7"/>
  <c r="F169" i="7"/>
  <c r="E169" i="7"/>
  <c r="J169" i="7"/>
  <c r="I169" i="7"/>
  <c r="AC169" i="7"/>
  <c r="E175" i="9"/>
  <c r="M175" i="7"/>
  <c r="E178" i="9"/>
  <c r="D180" i="9"/>
  <c r="B99" i="9"/>
  <c r="B107" i="9"/>
  <c r="B112" i="9"/>
  <c r="D118" i="9"/>
  <c r="P118" i="7"/>
  <c r="B119" i="9"/>
  <c r="G131" i="7"/>
  <c r="B134" i="9"/>
  <c r="K142" i="7"/>
  <c r="L142" i="7" s="1"/>
  <c r="A143" i="9"/>
  <c r="H143" i="7"/>
  <c r="I143" i="7"/>
  <c r="AC143" i="7"/>
  <c r="D143" i="7"/>
  <c r="G143" i="7"/>
  <c r="J150" i="7"/>
  <c r="A160" i="9"/>
  <c r="H160" i="7"/>
  <c r="G160" i="7"/>
  <c r="F160" i="7"/>
  <c r="AC160" i="7"/>
  <c r="D160" i="7"/>
  <c r="I160" i="7"/>
  <c r="E160" i="7"/>
  <c r="I162" i="7"/>
  <c r="D169" i="7"/>
  <c r="K175" i="7"/>
  <c r="L175" i="7" s="1"/>
  <c r="D176" i="9"/>
  <c r="E183" i="9"/>
  <c r="K183" i="7"/>
  <c r="L183" i="7" s="1"/>
  <c r="B185" i="9"/>
  <c r="D186" i="9"/>
  <c r="P186" i="7"/>
  <c r="B100" i="9"/>
  <c r="B108" i="9"/>
  <c r="D114" i="9"/>
  <c r="P114" i="7"/>
  <c r="B115" i="9"/>
  <c r="E124" i="9"/>
  <c r="M124" i="7"/>
  <c r="P124" i="7"/>
  <c r="E129" i="9"/>
  <c r="M129" i="7"/>
  <c r="E130" i="9"/>
  <c r="K130" i="7"/>
  <c r="L130" i="7" s="1"/>
  <c r="I131" i="7"/>
  <c r="D134" i="9"/>
  <c r="P134" i="7"/>
  <c r="G134" i="9" s="1"/>
  <c r="A147" i="9"/>
  <c r="H147" i="7"/>
  <c r="D147" i="7"/>
  <c r="F147" i="7"/>
  <c r="J147" i="7"/>
  <c r="I147" i="7"/>
  <c r="D148" i="9"/>
  <c r="P148" i="7"/>
  <c r="B155" i="9"/>
  <c r="B167" i="9"/>
  <c r="D170" i="9"/>
  <c r="P170" i="7"/>
  <c r="A171" i="9"/>
  <c r="H171" i="7"/>
  <c r="G171" i="7"/>
  <c r="F171" i="7"/>
  <c r="E171" i="7"/>
  <c r="I171" i="7"/>
  <c r="D171" i="7"/>
  <c r="AC171" i="7"/>
  <c r="D184" i="9"/>
  <c r="P115" i="7"/>
  <c r="D125" i="9"/>
  <c r="P125" i="7"/>
  <c r="A133" i="9"/>
  <c r="H133" i="7"/>
  <c r="AC133" i="7"/>
  <c r="D133" i="7"/>
  <c r="I133" i="7"/>
  <c r="G133" i="7"/>
  <c r="F133" i="7"/>
  <c r="P135" i="7"/>
  <c r="D135" i="9"/>
  <c r="B147" i="9"/>
  <c r="E148" i="9"/>
  <c r="K148" i="7"/>
  <c r="E153" i="9"/>
  <c r="K153" i="7"/>
  <c r="L153" i="7" s="1"/>
  <c r="A161" i="9"/>
  <c r="H161" i="7"/>
  <c r="G161" i="7"/>
  <c r="F161" i="7"/>
  <c r="E161" i="7"/>
  <c r="J161" i="7"/>
  <c r="I161" i="7"/>
  <c r="D161" i="7"/>
  <c r="AC161" i="7"/>
  <c r="E163" i="9"/>
  <c r="M163" i="7"/>
  <c r="B165" i="9"/>
  <c r="B171" i="9"/>
  <c r="A172" i="9"/>
  <c r="H172" i="7"/>
  <c r="G172" i="7"/>
  <c r="F172" i="7"/>
  <c r="I172" i="7"/>
  <c r="D172" i="7"/>
  <c r="E172" i="7"/>
  <c r="D177" i="9"/>
  <c r="P177" i="7"/>
  <c r="D174" i="9"/>
  <c r="P174" i="7"/>
  <c r="D175" i="9"/>
  <c r="P175" i="7"/>
  <c r="B177" i="9"/>
  <c r="A178" i="9"/>
  <c r="H178" i="7"/>
  <c r="G178" i="7"/>
  <c r="F178" i="7"/>
  <c r="B117" i="9"/>
  <c r="B125" i="9"/>
  <c r="K126" i="7"/>
  <c r="A139" i="9"/>
  <c r="H139" i="7"/>
  <c r="D139" i="7"/>
  <c r="F139" i="7"/>
  <c r="D140" i="9"/>
  <c r="P140" i="7"/>
  <c r="G140" i="9" s="1"/>
  <c r="A145" i="9"/>
  <c r="H145" i="7"/>
  <c r="F145" i="7"/>
  <c r="I145" i="7"/>
  <c r="K145" i="7" s="1"/>
  <c r="L145" i="7" s="1"/>
  <c r="B146" i="9"/>
  <c r="D147" i="9"/>
  <c r="P147" i="7"/>
  <c r="P156" i="7"/>
  <c r="G156" i="9" s="1"/>
  <c r="B157" i="9"/>
  <c r="A158" i="9"/>
  <c r="H158" i="7"/>
  <c r="G158" i="7"/>
  <c r="F158" i="7"/>
  <c r="AC158" i="7"/>
  <c r="D158" i="7"/>
  <c r="I158" i="7"/>
  <c r="D166" i="9"/>
  <c r="P166" i="7"/>
  <c r="G166" i="9" s="1"/>
  <c r="D167" i="9"/>
  <c r="P167" i="7"/>
  <c r="B169" i="9"/>
  <c r="A170" i="9"/>
  <c r="H170" i="7"/>
  <c r="G170" i="7"/>
  <c r="F170" i="7"/>
  <c r="D178" i="9"/>
  <c r="P178" i="7"/>
  <c r="B179" i="9"/>
  <c r="A180" i="9"/>
  <c r="H180" i="7"/>
  <c r="G180" i="7"/>
  <c r="F180" i="7"/>
  <c r="I180" i="7"/>
  <c r="B183" i="9"/>
  <c r="E186" i="9"/>
  <c r="K186" i="7"/>
  <c r="L186" i="7" s="1"/>
  <c r="B120" i="9"/>
  <c r="B128" i="9"/>
  <c r="B131" i="9"/>
  <c r="A136" i="9"/>
  <c r="H136" i="7"/>
  <c r="E136" i="7"/>
  <c r="B137" i="9"/>
  <c r="H142" i="7"/>
  <c r="A142" i="9"/>
  <c r="E142" i="7"/>
  <c r="G142" i="7"/>
  <c r="AC145" i="7"/>
  <c r="A149" i="9"/>
  <c r="H149" i="7"/>
  <c r="AC149" i="7"/>
  <c r="D149" i="7"/>
  <c r="D150" i="9"/>
  <c r="B151" i="9"/>
  <c r="A152" i="9"/>
  <c r="H152" i="7"/>
  <c r="G152" i="7"/>
  <c r="F152" i="7"/>
  <c r="AC152" i="7"/>
  <c r="D152" i="7"/>
  <c r="A153" i="9"/>
  <c r="H153" i="7"/>
  <c r="G153" i="7"/>
  <c r="F153" i="7"/>
  <c r="E153" i="7"/>
  <c r="J153" i="7"/>
  <c r="M153" i="7" s="1"/>
  <c r="K155" i="7"/>
  <c r="L155" i="7" s="1"/>
  <c r="E158" i="7"/>
  <c r="D160" i="9"/>
  <c r="P160" i="7"/>
  <c r="D161" i="9"/>
  <c r="A163" i="9"/>
  <c r="H163" i="7"/>
  <c r="G163" i="7"/>
  <c r="F163" i="7"/>
  <c r="E163" i="7"/>
  <c r="D170" i="7"/>
  <c r="B172" i="9"/>
  <c r="M173" i="7"/>
  <c r="I178" i="7"/>
  <c r="K178" i="7" s="1"/>
  <c r="D180" i="7"/>
  <c r="D182" i="9"/>
  <c r="P182" i="7"/>
  <c r="M112" i="7"/>
  <c r="B113" i="9"/>
  <c r="M120" i="7"/>
  <c r="B121" i="9"/>
  <c r="M128" i="7"/>
  <c r="B129" i="9"/>
  <c r="B130" i="9"/>
  <c r="D131" i="9"/>
  <c r="P131" i="7"/>
  <c r="K134" i="7"/>
  <c r="L134" i="7" s="1"/>
  <c r="A135" i="9"/>
  <c r="H135" i="7"/>
  <c r="I135" i="7"/>
  <c r="K135" i="7" s="1"/>
  <c r="L135" i="7" s="1"/>
  <c r="AC135" i="7"/>
  <c r="B136" i="9"/>
  <c r="D137" i="9"/>
  <c r="P137" i="7"/>
  <c r="G139" i="7"/>
  <c r="B142" i="9"/>
  <c r="D143" i="9"/>
  <c r="P143" i="7"/>
  <c r="E145" i="7"/>
  <c r="D151" i="9"/>
  <c r="P151" i="7"/>
  <c r="G151" i="9" s="1"/>
  <c r="B153" i="9"/>
  <c r="A154" i="9"/>
  <c r="H154" i="7"/>
  <c r="G154" i="7"/>
  <c r="F154" i="7"/>
  <c r="N154" i="7" s="1"/>
  <c r="J158" i="7"/>
  <c r="D162" i="9"/>
  <c r="B163" i="9"/>
  <c r="A164" i="9"/>
  <c r="H164" i="7"/>
  <c r="G164" i="7"/>
  <c r="F164" i="7"/>
  <c r="N164" i="7" s="1"/>
  <c r="I164" i="7"/>
  <c r="K164" i="7" s="1"/>
  <c r="L164" i="7" s="1"/>
  <c r="K165" i="7"/>
  <c r="L165" i="7" s="1"/>
  <c r="E170" i="7"/>
  <c r="D172" i="9"/>
  <c r="B173" i="9"/>
  <c r="A174" i="9"/>
  <c r="H174" i="7"/>
  <c r="G174" i="7"/>
  <c r="F174" i="7"/>
  <c r="AC174" i="7"/>
  <c r="D174" i="7"/>
  <c r="I174" i="7"/>
  <c r="J178" i="7"/>
  <c r="M178" i="7" s="1"/>
  <c r="E180" i="7"/>
  <c r="B114" i="9"/>
  <c r="P119" i="7"/>
  <c r="B122" i="9"/>
  <c r="P127" i="7"/>
  <c r="D129" i="9"/>
  <c r="P129" i="7"/>
  <c r="A134" i="9"/>
  <c r="H134" i="7"/>
  <c r="E134" i="7"/>
  <c r="G134" i="7"/>
  <c r="I139" i="7"/>
  <c r="A141" i="9"/>
  <c r="H141" i="7"/>
  <c r="AC141" i="7"/>
  <c r="D141" i="7"/>
  <c r="D142" i="9"/>
  <c r="P142" i="7"/>
  <c r="G145" i="7"/>
  <c r="B148" i="9"/>
  <c r="D149" i="9"/>
  <c r="D152" i="9"/>
  <c r="P152" i="7"/>
  <c r="D153" i="9"/>
  <c r="P153" i="7"/>
  <c r="A155" i="9"/>
  <c r="H155" i="7"/>
  <c r="G155" i="7"/>
  <c r="F155" i="7"/>
  <c r="E155" i="7"/>
  <c r="N155" i="7" s="1"/>
  <c r="M155" i="7"/>
  <c r="B164" i="9"/>
  <c r="M165" i="7"/>
  <c r="I170" i="7"/>
  <c r="B174" i="9"/>
  <c r="B175" i="9"/>
  <c r="A176" i="9"/>
  <c r="H176" i="7"/>
  <c r="G176" i="7"/>
  <c r="F176" i="7"/>
  <c r="AC176" i="7"/>
  <c r="D176" i="7"/>
  <c r="P176" i="7" s="1"/>
  <c r="A177" i="9"/>
  <c r="H177" i="7"/>
  <c r="G177" i="7"/>
  <c r="F177" i="7"/>
  <c r="E177" i="7"/>
  <c r="J177" i="7"/>
  <c r="M177" i="7" s="1"/>
  <c r="AC178" i="7"/>
  <c r="J180" i="7"/>
  <c r="A186" i="9"/>
  <c r="H186" i="7"/>
  <c r="G186" i="7"/>
  <c r="F186" i="7"/>
  <c r="J186" i="7"/>
  <c r="M186" i="7" s="1"/>
  <c r="I186" i="7"/>
  <c r="I99" i="7"/>
  <c r="K99" i="7" s="1"/>
  <c r="I100" i="7"/>
  <c r="K100" i="7" s="1"/>
  <c r="I101" i="7"/>
  <c r="K101" i="7" s="1"/>
  <c r="I102" i="7"/>
  <c r="K102" i="7" s="1"/>
  <c r="I103" i="7"/>
  <c r="K103" i="7" s="1"/>
  <c r="I104" i="7"/>
  <c r="K104" i="7" s="1"/>
  <c r="I105" i="7"/>
  <c r="K105" i="7" s="1"/>
  <c r="I106" i="7"/>
  <c r="K106" i="7" s="1"/>
  <c r="I107" i="7"/>
  <c r="K107" i="7" s="1"/>
  <c r="I108" i="7"/>
  <c r="K108" i="7" s="1"/>
  <c r="I109" i="7"/>
  <c r="K109" i="7" s="1"/>
  <c r="I110" i="7"/>
  <c r="K110" i="7" s="1"/>
  <c r="I111" i="7"/>
  <c r="K111" i="7" s="1"/>
  <c r="I112" i="7"/>
  <c r="K112" i="7" s="1"/>
  <c r="L112" i="7" s="1"/>
  <c r="I113" i="7"/>
  <c r="K113" i="7" s="1"/>
  <c r="I114" i="7"/>
  <c r="K114" i="7" s="1"/>
  <c r="I115" i="7"/>
  <c r="K115" i="7" s="1"/>
  <c r="I116" i="7"/>
  <c r="K116" i="7" s="1"/>
  <c r="I117" i="7"/>
  <c r="K117" i="7" s="1"/>
  <c r="I118" i="7"/>
  <c r="K118" i="7" s="1"/>
  <c r="I119" i="7"/>
  <c r="K119" i="7" s="1"/>
  <c r="L119" i="7" s="1"/>
  <c r="I120" i="7"/>
  <c r="K120" i="7" s="1"/>
  <c r="I121" i="7"/>
  <c r="I122" i="7"/>
  <c r="K122" i="7" s="1"/>
  <c r="I123" i="7"/>
  <c r="K123" i="7" s="1"/>
  <c r="I124" i="7"/>
  <c r="K124" i="7" s="1"/>
  <c r="I125" i="7"/>
  <c r="K125" i="7" s="1"/>
  <c r="I126" i="7"/>
  <c r="I127" i="7"/>
  <c r="K127" i="7" s="1"/>
  <c r="I128" i="7"/>
  <c r="K128" i="7" s="1"/>
  <c r="L128" i="7" s="1"/>
  <c r="I129" i="7"/>
  <c r="K129" i="7" s="1"/>
  <c r="P130" i="7"/>
  <c r="A132" i="9"/>
  <c r="H132" i="7"/>
  <c r="J132" i="7"/>
  <c r="M132" i="7" s="1"/>
  <c r="B135" i="9"/>
  <c r="D138" i="9"/>
  <c r="P138" i="7"/>
  <c r="A140" i="9"/>
  <c r="H140" i="7"/>
  <c r="J140" i="7"/>
  <c r="M140" i="7" s="1"/>
  <c r="B143" i="9"/>
  <c r="D146" i="9"/>
  <c r="P146" i="7"/>
  <c r="G146" i="9" s="1"/>
  <c r="A148" i="9"/>
  <c r="H148" i="7"/>
  <c r="J148" i="7"/>
  <c r="M148" i="7" s="1"/>
  <c r="A151" i="9"/>
  <c r="H151" i="7"/>
  <c r="G151" i="7"/>
  <c r="F151" i="7"/>
  <c r="N151" i="7" s="1"/>
  <c r="B154" i="9"/>
  <c r="D157" i="9"/>
  <c r="P157" i="7"/>
  <c r="A159" i="9"/>
  <c r="H159" i="7"/>
  <c r="G159" i="7"/>
  <c r="F159" i="7"/>
  <c r="N159" i="7" s="1"/>
  <c r="B162" i="9"/>
  <c r="D165" i="9"/>
  <c r="P165" i="7"/>
  <c r="A167" i="9"/>
  <c r="H167" i="7"/>
  <c r="G167" i="7"/>
  <c r="F167" i="7"/>
  <c r="B170" i="9"/>
  <c r="D173" i="9"/>
  <c r="P173" i="7"/>
  <c r="A175" i="9"/>
  <c r="H175" i="7"/>
  <c r="G175" i="7"/>
  <c r="F175" i="7"/>
  <c r="N175" i="7" s="1"/>
  <c r="B178" i="9"/>
  <c r="D181" i="9"/>
  <c r="P181" i="7"/>
  <c r="A183" i="9"/>
  <c r="H183" i="7"/>
  <c r="G183" i="7"/>
  <c r="F183" i="7"/>
  <c r="D184" i="7"/>
  <c r="P184" i="7" s="1"/>
  <c r="A129" i="9"/>
  <c r="B182" i="9"/>
  <c r="E183" i="7"/>
  <c r="D185" i="9"/>
  <c r="P185" i="7"/>
  <c r="G185" i="9" s="1"/>
  <c r="A103" i="9"/>
  <c r="B186" i="9"/>
  <c r="A184" i="9"/>
  <c r="H184" i="7"/>
  <c r="G184" i="7"/>
  <c r="F184" i="7"/>
  <c r="G99" i="7"/>
  <c r="G100" i="7"/>
  <c r="G101" i="7"/>
  <c r="G102" i="7"/>
  <c r="G104" i="7"/>
  <c r="G105" i="7"/>
  <c r="G106" i="7"/>
  <c r="G107" i="7"/>
  <c r="G108" i="7"/>
  <c r="G109" i="7"/>
  <c r="G110" i="7"/>
  <c r="G111" i="7"/>
  <c r="G112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N128" i="7" s="1"/>
  <c r="A130" i="9"/>
  <c r="H130" i="7"/>
  <c r="J130" i="7"/>
  <c r="M130" i="7" s="1"/>
  <c r="G132" i="7"/>
  <c r="B133" i="9"/>
  <c r="D136" i="9"/>
  <c r="P136" i="7"/>
  <c r="A138" i="9"/>
  <c r="H138" i="7"/>
  <c r="N138" i="7" s="1"/>
  <c r="J138" i="7"/>
  <c r="M138" i="7" s="1"/>
  <c r="G140" i="7"/>
  <c r="N140" i="7" s="1"/>
  <c r="B141" i="9"/>
  <c r="D144" i="9"/>
  <c r="P144" i="7"/>
  <c r="A146" i="9"/>
  <c r="H146" i="7"/>
  <c r="J146" i="7"/>
  <c r="M146" i="7" s="1"/>
  <c r="G148" i="7"/>
  <c r="B149" i="9"/>
  <c r="J151" i="7"/>
  <c r="M151" i="7" s="1"/>
  <c r="B152" i="9"/>
  <c r="D155" i="9"/>
  <c r="P155" i="7"/>
  <c r="H157" i="7"/>
  <c r="G157" i="7"/>
  <c r="F157" i="7"/>
  <c r="N157" i="7" s="1"/>
  <c r="A157" i="9"/>
  <c r="J159" i="7"/>
  <c r="M159" i="7" s="1"/>
  <c r="B160" i="9"/>
  <c r="D163" i="9"/>
  <c r="P163" i="7"/>
  <c r="A165" i="9"/>
  <c r="H165" i="7"/>
  <c r="G165" i="7"/>
  <c r="F165" i="7"/>
  <c r="N165" i="7" s="1"/>
  <c r="J167" i="7"/>
  <c r="M167" i="7" s="1"/>
  <c r="B168" i="9"/>
  <c r="D171" i="9"/>
  <c r="P171" i="7"/>
  <c r="A173" i="9"/>
  <c r="H173" i="7"/>
  <c r="G173" i="7"/>
  <c r="F173" i="7"/>
  <c r="N173" i="7" s="1"/>
  <c r="J175" i="7"/>
  <c r="B176" i="9"/>
  <c r="D179" i="9"/>
  <c r="P179" i="7"/>
  <c r="A181" i="9"/>
  <c r="H181" i="7"/>
  <c r="G181" i="7"/>
  <c r="F181" i="7"/>
  <c r="N181" i="7" s="1"/>
  <c r="J183" i="7"/>
  <c r="M183" i="7" s="1"/>
  <c r="B184" i="9"/>
  <c r="G16" i="8"/>
  <c r="G13" i="8"/>
  <c r="B13" i="8"/>
  <c r="B16" i="8" s="1"/>
  <c r="B8" i="8"/>
  <c r="C13" i="8"/>
  <c r="C16" i="8" s="1"/>
  <c r="B13" i="10"/>
  <c r="Y38" i="10" s="1"/>
  <c r="Y35" i="10"/>
  <c r="AA33" i="10"/>
  <c r="R32" i="10"/>
  <c r="S29" i="10"/>
  <c r="AA26" i="10"/>
  <c r="Z24" i="10"/>
  <c r="Z52" i="10" s="1"/>
  <c r="K24" i="10"/>
  <c r="M23" i="10"/>
  <c r="U21" i="10"/>
  <c r="U49" i="10" s="1"/>
  <c r="K20" i="10"/>
  <c r="K48" i="10" s="1"/>
  <c r="G19" i="10"/>
  <c r="P18" i="10"/>
  <c r="P46" i="10" s="1"/>
  <c r="X38" i="10"/>
  <c r="T33" i="10"/>
  <c r="S30" i="10"/>
  <c r="Z27" i="10"/>
  <c r="Z55" i="10" s="1"/>
  <c r="V26" i="10"/>
  <c r="X25" i="10"/>
  <c r="X53" i="10" s="1"/>
  <c r="J24" i="10"/>
  <c r="M22" i="10"/>
  <c r="Y20" i="10"/>
  <c r="Y48" i="10" s="1"/>
  <c r="J20" i="10"/>
  <c r="R19" i="10"/>
  <c r="R47" i="10" s="1"/>
  <c r="N18" i="10"/>
  <c r="N46" i="10" s="1"/>
  <c r="W37" i="10"/>
  <c r="S33" i="10"/>
  <c r="Y31" i="10"/>
  <c r="Q30" i="10"/>
  <c r="Y27" i="10"/>
  <c r="Y55" i="10" s="1"/>
  <c r="W25" i="10"/>
  <c r="W53" i="10" s="1"/>
  <c r="X23" i="10"/>
  <c r="X51" i="10" s="1"/>
  <c r="I23" i="10"/>
  <c r="L22" i="10"/>
  <c r="X20" i="10"/>
  <c r="X48" i="10" s="1"/>
  <c r="Q19" i="10"/>
  <c r="Q47" i="10" s="1"/>
  <c r="M18" i="10"/>
  <c r="M46" i="10" s="1"/>
  <c r="AA42" i="10"/>
  <c r="V37" i="10"/>
  <c r="R33" i="10"/>
  <c r="P30" i="10"/>
  <c r="X27" i="10"/>
  <c r="R26" i="10"/>
  <c r="Q25" i="10"/>
  <c r="W23" i="10"/>
  <c r="W51" i="10" s="1"/>
  <c r="K22" i="10"/>
  <c r="W20" i="10"/>
  <c r="W48" i="10" s="1"/>
  <c r="D20" i="10"/>
  <c r="P19" i="10"/>
  <c r="P47" i="10" s="1"/>
  <c r="I18" i="10"/>
  <c r="I46" i="10" s="1"/>
  <c r="AA19" i="10"/>
  <c r="W22" i="10"/>
  <c r="W50" i="10" s="1"/>
  <c r="T24" i="10"/>
  <c r="T52" i="10" s="1"/>
  <c r="Q26" i="10"/>
  <c r="S31" i="10"/>
  <c r="Z42" i="10"/>
  <c r="H19" i="10"/>
  <c r="L20" i="10"/>
  <c r="L48" i="10" s="1"/>
  <c r="X21" i="10"/>
  <c r="X49" i="10" s="1"/>
  <c r="K25" i="10"/>
  <c r="T29" i="10"/>
  <c r="Z35" i="10"/>
  <c r="E18" i="10"/>
  <c r="I19" i="10"/>
  <c r="I47" i="10" s="1"/>
  <c r="Y21" i="10"/>
  <c r="Y49" i="10" s="1"/>
  <c r="N25" i="10"/>
  <c r="U29" i="10"/>
  <c r="T32" i="10"/>
  <c r="Y36" i="10"/>
  <c r="J19" i="10"/>
  <c r="J47" i="10" s="1"/>
  <c r="G22" i="10"/>
  <c r="O25" i="10"/>
  <c r="P27" i="10"/>
  <c r="V29" i="10"/>
  <c r="Z36" i="10"/>
  <c r="K19" i="10"/>
  <c r="K47" i="10" s="1"/>
  <c r="J22" i="10"/>
  <c r="V23" i="10"/>
  <c r="V51" i="10" s="1"/>
  <c r="P25" i="10"/>
  <c r="O30" i="10"/>
  <c r="U37" i="10"/>
  <c r="Y39" i="10"/>
  <c r="V38" i="10"/>
  <c r="AA36" i="10"/>
  <c r="S35" i="10"/>
  <c r="V33" i="10"/>
  <c r="Q32" i="10"/>
  <c r="U31" i="10"/>
  <c r="Z30" i="10"/>
  <c r="X29" i="10"/>
  <c r="W28" i="10"/>
  <c r="W27" i="10"/>
  <c r="O27" i="10"/>
  <c r="X26" i="10"/>
  <c r="X54" i="10" s="1"/>
  <c r="Y41" i="10"/>
  <c r="Y37" i="10"/>
  <c r="V35" i="10"/>
  <c r="V34" i="10"/>
  <c r="W33" i="10"/>
  <c r="AA31" i="10"/>
  <c r="V30" i="10"/>
  <c r="R29" i="10"/>
  <c r="X28" i="10"/>
  <c r="N28" i="10"/>
  <c r="L27" i="10"/>
  <c r="K26" i="10"/>
  <c r="M25" i="10"/>
  <c r="X24" i="10"/>
  <c r="X52" i="10" s="1"/>
  <c r="P24" i="10"/>
  <c r="T23" i="10"/>
  <c r="T51" i="10" s="1"/>
  <c r="Y22" i="10"/>
  <c r="Y50" i="10" s="1"/>
  <c r="I22" i="10"/>
  <c r="W21" i="10"/>
  <c r="W49" i="10" s="1"/>
  <c r="O21" i="10"/>
  <c r="O49" i="10" s="1"/>
  <c r="V20" i="10"/>
  <c r="V48" i="10" s="1"/>
  <c r="F20" i="10"/>
  <c r="N19" i="10"/>
  <c r="N47" i="10" s="1"/>
  <c r="F19" i="10"/>
  <c r="W18" i="10"/>
  <c r="W46" i="10" s="1"/>
  <c r="G18" i="10"/>
  <c r="G46" i="10" s="1"/>
  <c r="AA38" i="10"/>
  <c r="V36" i="10"/>
  <c r="U35" i="10"/>
  <c r="U34" i="10"/>
  <c r="W32" i="10"/>
  <c r="Q31" i="10"/>
  <c r="Z29" i="10"/>
  <c r="Q29" i="10"/>
  <c r="V28" i="10"/>
  <c r="T27" i="10"/>
  <c r="S26" i="10"/>
  <c r="T25" i="10"/>
  <c r="L25" i="10"/>
  <c r="W24" i="10"/>
  <c r="W52" i="10" s="1"/>
  <c r="AA23" i="10"/>
  <c r="K23" i="10"/>
  <c r="P22" i="10"/>
  <c r="P50" i="10" s="1"/>
  <c r="H22" i="10"/>
  <c r="V21" i="10"/>
  <c r="V49" i="10" s="1"/>
  <c r="F21" i="10"/>
  <c r="M20" i="10"/>
  <c r="M48" i="10" s="1"/>
  <c r="Z38" i="10"/>
  <c r="J18" i="10"/>
  <c r="J46" i="10" s="1"/>
  <c r="S18" i="10"/>
  <c r="S46" i="10" s="1"/>
  <c r="L19" i="10"/>
  <c r="L47" i="10" s="1"/>
  <c r="G20" i="10"/>
  <c r="AA20" i="10"/>
  <c r="P21" i="10"/>
  <c r="P49" i="10" s="1"/>
  <c r="Z21" i="10"/>
  <c r="Z49" i="10" s="1"/>
  <c r="Z22" i="10"/>
  <c r="Z50" i="10" s="1"/>
  <c r="Y23" i="10"/>
  <c r="Y51" i="10" s="1"/>
  <c r="AA24" i="10"/>
  <c r="R25" i="10"/>
  <c r="L26" i="10"/>
  <c r="R27" i="10"/>
  <c r="AA28" i="10"/>
  <c r="W30" i="10"/>
  <c r="V31" i="10"/>
  <c r="U32" i="10"/>
  <c r="Y34" i="10"/>
  <c r="Z37" i="10"/>
  <c r="B18" i="10"/>
  <c r="K18" i="10"/>
  <c r="K46" i="10" s="1"/>
  <c r="T18" i="10"/>
  <c r="T46" i="10" s="1"/>
  <c r="M19" i="10"/>
  <c r="M47" i="10" s="1"/>
  <c r="H20" i="10"/>
  <c r="E21" i="10"/>
  <c r="Q21" i="10"/>
  <c r="Q49" i="10" s="1"/>
  <c r="AA21" i="10"/>
  <c r="AA22" i="10"/>
  <c r="Z23" i="10"/>
  <c r="Z51" i="10" s="1"/>
  <c r="I25" i="10"/>
  <c r="S25" i="10"/>
  <c r="M26" i="10"/>
  <c r="S27" i="10"/>
  <c r="M29" i="10"/>
  <c r="X30" i="10"/>
  <c r="W31" i="10"/>
  <c r="V32" i="10"/>
  <c r="Z34" i="10"/>
  <c r="AA37" i="10"/>
  <c r="C18" i="10"/>
  <c r="L18" i="10"/>
  <c r="L46" i="10" s="1"/>
  <c r="U18" i="10"/>
  <c r="U46" i="10" s="1"/>
  <c r="O19" i="10"/>
  <c r="O47" i="10" s="1"/>
  <c r="I20" i="10"/>
  <c r="H21" i="10"/>
  <c r="R21" i="10"/>
  <c r="R49" i="10" s="1"/>
  <c r="F22" i="10"/>
  <c r="G23" i="10"/>
  <c r="I24" i="10"/>
  <c r="J25" i="10"/>
  <c r="V25" i="10"/>
  <c r="V53" i="10" s="1"/>
  <c r="N26" i="10"/>
  <c r="V27" i="10"/>
  <c r="N29" i="10"/>
  <c r="Y30" i="10"/>
  <c r="X31" i="10"/>
  <c r="Z32" i="10"/>
  <c r="AA34" i="10"/>
  <c r="W38" i="10"/>
  <c r="L118" i="7" l="1"/>
  <c r="N118" i="7" s="1"/>
  <c r="C154" i="9"/>
  <c r="O154" i="7"/>
  <c r="L178" i="7"/>
  <c r="N178" i="7" s="1"/>
  <c r="C151" i="9"/>
  <c r="O151" i="7"/>
  <c r="L109" i="7"/>
  <c r="N109" i="7"/>
  <c r="C164" i="9"/>
  <c r="O164" i="7"/>
  <c r="C181" i="9"/>
  <c r="O181" i="7"/>
  <c r="C173" i="9"/>
  <c r="O173" i="7"/>
  <c r="C165" i="9"/>
  <c r="O165" i="7"/>
  <c r="C140" i="9"/>
  <c r="O140" i="7"/>
  <c r="C159" i="9"/>
  <c r="O159" i="7"/>
  <c r="L116" i="7"/>
  <c r="N116" i="7" s="1"/>
  <c r="L100" i="7"/>
  <c r="N100" i="7"/>
  <c r="G176" i="9"/>
  <c r="O157" i="7"/>
  <c r="C157" i="9"/>
  <c r="L123" i="7"/>
  <c r="N123" i="7" s="1"/>
  <c r="L115" i="7"/>
  <c r="N115" i="7"/>
  <c r="L21" i="7"/>
  <c r="N21" i="7" s="1"/>
  <c r="C138" i="9"/>
  <c r="O138" i="7"/>
  <c r="G184" i="9"/>
  <c r="C175" i="9"/>
  <c r="O175" i="7"/>
  <c r="L114" i="7"/>
  <c r="N114" i="7"/>
  <c r="L36" i="7"/>
  <c r="N36" i="7" s="1"/>
  <c r="L28" i="7"/>
  <c r="N28" i="7" s="1"/>
  <c r="C128" i="9"/>
  <c r="O128" i="7"/>
  <c r="L129" i="7"/>
  <c r="N129" i="7" s="1"/>
  <c r="N186" i="7"/>
  <c r="L61" i="7"/>
  <c r="N61" i="7" s="1"/>
  <c r="L103" i="7"/>
  <c r="N103" i="7" s="1"/>
  <c r="E141" i="9"/>
  <c r="K141" i="7"/>
  <c r="M141" i="7"/>
  <c r="T129" i="9"/>
  <c r="J129" i="9"/>
  <c r="G182" i="9"/>
  <c r="T128" i="9"/>
  <c r="J128" i="9"/>
  <c r="T157" i="9"/>
  <c r="J157" i="9"/>
  <c r="J125" i="9"/>
  <c r="T125" i="9"/>
  <c r="J177" i="9"/>
  <c r="T177" i="9"/>
  <c r="J171" i="9"/>
  <c r="T171" i="9"/>
  <c r="T147" i="9"/>
  <c r="J147" i="9"/>
  <c r="P141" i="7"/>
  <c r="G122" i="9"/>
  <c r="T159" i="9"/>
  <c r="J159" i="9"/>
  <c r="T150" i="9"/>
  <c r="J150" i="9"/>
  <c r="G79" i="9"/>
  <c r="L69" i="7"/>
  <c r="N69" i="7" s="1"/>
  <c r="J60" i="9"/>
  <c r="T60" i="9"/>
  <c r="L44" i="7"/>
  <c r="N44" i="7"/>
  <c r="L20" i="7"/>
  <c r="N20" i="7" s="1"/>
  <c r="N12" i="7"/>
  <c r="L12" i="7"/>
  <c r="T158" i="9"/>
  <c r="J158" i="9"/>
  <c r="G117" i="9"/>
  <c r="J76" i="9"/>
  <c r="T76" i="9"/>
  <c r="G44" i="9"/>
  <c r="G40" i="9"/>
  <c r="G36" i="9"/>
  <c r="G32" i="9"/>
  <c r="G28" i="9"/>
  <c r="G24" i="9"/>
  <c r="E144" i="9"/>
  <c r="M144" i="7"/>
  <c r="K144" i="7"/>
  <c r="L144" i="7" s="1"/>
  <c r="T70" i="9"/>
  <c r="J70" i="9"/>
  <c r="E85" i="9"/>
  <c r="M85" i="7"/>
  <c r="K85" i="7"/>
  <c r="P85" i="7"/>
  <c r="E77" i="9"/>
  <c r="M77" i="7"/>
  <c r="K77" i="7"/>
  <c r="P77" i="7"/>
  <c r="J118" i="9"/>
  <c r="T118" i="9"/>
  <c r="B8" i="11"/>
  <c r="T19" i="9"/>
  <c r="J19" i="9"/>
  <c r="AA90" i="10"/>
  <c r="AA62" i="10"/>
  <c r="AA78" i="10"/>
  <c r="AA50" i="10"/>
  <c r="AA51" i="10"/>
  <c r="AA79" i="10"/>
  <c r="AA87" i="10"/>
  <c r="AA59" i="10"/>
  <c r="B8" i="10"/>
  <c r="G14" i="8"/>
  <c r="D14" i="8"/>
  <c r="C14" i="8"/>
  <c r="B14" i="8"/>
  <c r="F14" i="8"/>
  <c r="I14" i="8"/>
  <c r="H14" i="8"/>
  <c r="E14" i="8"/>
  <c r="J184" i="9"/>
  <c r="T184" i="9"/>
  <c r="T182" i="9"/>
  <c r="J182" i="9"/>
  <c r="G157" i="9"/>
  <c r="L127" i="7"/>
  <c r="N127" i="7"/>
  <c r="L111" i="7"/>
  <c r="N111" i="7" s="1"/>
  <c r="T175" i="9"/>
  <c r="J175" i="9"/>
  <c r="G153" i="9"/>
  <c r="Z33" i="10"/>
  <c r="Z26" i="10"/>
  <c r="Z54" i="10" s="1"/>
  <c r="R22" i="10"/>
  <c r="R50" i="10" s="1"/>
  <c r="E19" i="10"/>
  <c r="Y33" i="10"/>
  <c r="Y26" i="10"/>
  <c r="Y54" i="10" s="1"/>
  <c r="O22" i="10"/>
  <c r="O50" i="10" s="1"/>
  <c r="D19" i="10"/>
  <c r="X33" i="10"/>
  <c r="W26" i="10"/>
  <c r="W54" i="10" s="1"/>
  <c r="N22" i="10"/>
  <c r="C19" i="10"/>
  <c r="N21" i="10"/>
  <c r="N49" i="10" s="1"/>
  <c r="O24" i="10"/>
  <c r="M28" i="10"/>
  <c r="U33" i="10"/>
  <c r="O18" i="10"/>
  <c r="O46" i="10" s="1"/>
  <c r="G21" i="10"/>
  <c r="H24" i="10"/>
  <c r="U27" i="10"/>
  <c r="X32" i="10"/>
  <c r="P26" i="10"/>
  <c r="R30" i="10"/>
  <c r="AA35" i="10"/>
  <c r="Q27" i="10"/>
  <c r="AA32" i="10"/>
  <c r="F18" i="10"/>
  <c r="O20" i="10"/>
  <c r="O48" i="10" s="1"/>
  <c r="N23" i="10"/>
  <c r="U28" i="10"/>
  <c r="Y18" i="10"/>
  <c r="Y46" i="10" s="1"/>
  <c r="U24" i="10"/>
  <c r="U52" i="10" s="1"/>
  <c r="T35" i="10"/>
  <c r="S21" i="10"/>
  <c r="S49" i="10" s="1"/>
  <c r="Z28" i="10"/>
  <c r="AA18" i="10"/>
  <c r="Y24" i="10"/>
  <c r="Y52" i="10" s="1"/>
  <c r="X35" i="10"/>
  <c r="S22" i="10"/>
  <c r="S50" i="10" s="1"/>
  <c r="T30" i="10"/>
  <c r="J168" i="9"/>
  <c r="T168" i="9"/>
  <c r="T152" i="9"/>
  <c r="J152" i="9"/>
  <c r="J133" i="9"/>
  <c r="T133" i="9"/>
  <c r="J170" i="9"/>
  <c r="T170" i="9"/>
  <c r="T143" i="9"/>
  <c r="J143" i="9"/>
  <c r="J135" i="9"/>
  <c r="T135" i="9"/>
  <c r="L110" i="7"/>
  <c r="N110" i="7" s="1"/>
  <c r="L102" i="7"/>
  <c r="N102" i="7" s="1"/>
  <c r="J164" i="9"/>
  <c r="T164" i="9"/>
  <c r="E174" i="9"/>
  <c r="M174" i="7"/>
  <c r="K174" i="7"/>
  <c r="L174" i="7" s="1"/>
  <c r="N145" i="7"/>
  <c r="G137" i="9"/>
  <c r="E149" i="9"/>
  <c r="K149" i="7"/>
  <c r="M149" i="7"/>
  <c r="J146" i="9"/>
  <c r="T146" i="9"/>
  <c r="E139" i="9"/>
  <c r="M139" i="7"/>
  <c r="K139" i="7"/>
  <c r="L139" i="7" s="1"/>
  <c r="G175" i="9"/>
  <c r="G124" i="9"/>
  <c r="J100" i="9"/>
  <c r="T100" i="9"/>
  <c r="E160" i="9"/>
  <c r="M160" i="7"/>
  <c r="K160" i="7"/>
  <c r="L160" i="7" s="1"/>
  <c r="T134" i="9"/>
  <c r="J134" i="9"/>
  <c r="T107" i="9"/>
  <c r="J107" i="9"/>
  <c r="G154" i="9"/>
  <c r="G132" i="9"/>
  <c r="G126" i="9"/>
  <c r="G105" i="9"/>
  <c r="G95" i="9"/>
  <c r="L43" i="7"/>
  <c r="N43" i="7"/>
  <c r="L27" i="7"/>
  <c r="N27" i="7" s="1"/>
  <c r="L19" i="7"/>
  <c r="N19" i="7" s="1"/>
  <c r="L11" i="7"/>
  <c r="N11" i="7" s="1"/>
  <c r="E179" i="9"/>
  <c r="K179" i="7"/>
  <c r="L179" i="7" s="1"/>
  <c r="M179" i="7"/>
  <c r="J161" i="9"/>
  <c r="T161" i="9"/>
  <c r="G164" i="9"/>
  <c r="J101" i="9"/>
  <c r="T101" i="9"/>
  <c r="E65" i="9"/>
  <c r="M65" i="7"/>
  <c r="K65" i="7"/>
  <c r="L65" i="7" s="1"/>
  <c r="J10" i="9"/>
  <c r="T10" i="9"/>
  <c r="G4" i="9"/>
  <c r="T15" i="9"/>
  <c r="J15" i="9"/>
  <c r="AA77" i="10"/>
  <c r="AA49" i="10"/>
  <c r="AA92" i="10"/>
  <c r="AA64" i="10"/>
  <c r="G144" i="9"/>
  <c r="N132" i="7"/>
  <c r="G181" i="9"/>
  <c r="N167" i="7"/>
  <c r="L125" i="7"/>
  <c r="N125" i="7"/>
  <c r="L117" i="7"/>
  <c r="N117" i="7"/>
  <c r="L101" i="7"/>
  <c r="N101" i="7"/>
  <c r="G152" i="9"/>
  <c r="G129" i="9"/>
  <c r="G143" i="9"/>
  <c r="E180" i="9"/>
  <c r="K180" i="7"/>
  <c r="L180" i="7" s="1"/>
  <c r="M180" i="7"/>
  <c r="E152" i="9"/>
  <c r="M152" i="7"/>
  <c r="K152" i="7"/>
  <c r="L152" i="7" s="1"/>
  <c r="E172" i="9"/>
  <c r="K172" i="7"/>
  <c r="L172" i="7" s="1"/>
  <c r="M172" i="7"/>
  <c r="G135" i="9"/>
  <c r="N130" i="7"/>
  <c r="G170" i="9"/>
  <c r="E147" i="9"/>
  <c r="M147" i="7"/>
  <c r="K147" i="7"/>
  <c r="L147" i="7" s="1"/>
  <c r="E143" i="9"/>
  <c r="K143" i="7"/>
  <c r="M143" i="7"/>
  <c r="L121" i="7"/>
  <c r="N121" i="7"/>
  <c r="T180" i="9"/>
  <c r="J180" i="9"/>
  <c r="G57" i="9"/>
  <c r="L34" i="7"/>
  <c r="N34" i="7" s="1"/>
  <c r="L26" i="7"/>
  <c r="N26" i="7"/>
  <c r="G100" i="9"/>
  <c r="E87" i="9"/>
  <c r="M87" i="7"/>
  <c r="K87" i="7"/>
  <c r="T59" i="9"/>
  <c r="J59" i="9"/>
  <c r="G43" i="9"/>
  <c r="G39" i="9"/>
  <c r="G35" i="9"/>
  <c r="N156" i="7"/>
  <c r="L67" i="7"/>
  <c r="N67" i="7" s="1"/>
  <c r="J93" i="9"/>
  <c r="T93" i="9"/>
  <c r="T132" i="9"/>
  <c r="J132" i="9"/>
  <c r="G71" i="9"/>
  <c r="L59" i="7"/>
  <c r="N59" i="7"/>
  <c r="AA70" i="10"/>
  <c r="AA98" i="10"/>
  <c r="AA61" i="10"/>
  <c r="AA89" i="10"/>
  <c r="G171" i="9"/>
  <c r="G155" i="9"/>
  <c r="J162" i="9"/>
  <c r="T162" i="9"/>
  <c r="L124" i="7"/>
  <c r="N124" i="7" s="1"/>
  <c r="L108" i="7"/>
  <c r="N108" i="7"/>
  <c r="C155" i="9"/>
  <c r="O155" i="7"/>
  <c r="J148" i="9"/>
  <c r="T148" i="9"/>
  <c r="T122" i="9"/>
  <c r="J122" i="9"/>
  <c r="T114" i="9"/>
  <c r="J114" i="9"/>
  <c r="J130" i="9"/>
  <c r="T130" i="9"/>
  <c r="T183" i="9"/>
  <c r="J183" i="9"/>
  <c r="G147" i="9"/>
  <c r="G174" i="9"/>
  <c r="E161" i="9"/>
  <c r="M161" i="7"/>
  <c r="K161" i="7"/>
  <c r="L161" i="7" s="1"/>
  <c r="G125" i="9"/>
  <c r="E171" i="9"/>
  <c r="K171" i="7"/>
  <c r="L171" i="7" s="1"/>
  <c r="M171" i="7"/>
  <c r="T167" i="9"/>
  <c r="J167" i="9"/>
  <c r="J155" i="9"/>
  <c r="T155" i="9"/>
  <c r="J108" i="9"/>
  <c r="T108" i="9"/>
  <c r="G186" i="9"/>
  <c r="E150" i="9"/>
  <c r="M150" i="7"/>
  <c r="K150" i="7"/>
  <c r="L150" i="7" s="1"/>
  <c r="J104" i="9"/>
  <c r="T104" i="9"/>
  <c r="T181" i="9"/>
  <c r="J181" i="9"/>
  <c r="G139" i="9"/>
  <c r="E98" i="9"/>
  <c r="M98" i="7"/>
  <c r="P98" i="7"/>
  <c r="K98" i="7"/>
  <c r="E82" i="9"/>
  <c r="M82" i="7"/>
  <c r="K82" i="7"/>
  <c r="P82" i="7"/>
  <c r="T52" i="9"/>
  <c r="J52" i="9"/>
  <c r="L41" i="7"/>
  <c r="N41" i="7"/>
  <c r="N33" i="7"/>
  <c r="L33" i="7"/>
  <c r="L25" i="7"/>
  <c r="N25" i="7" s="1"/>
  <c r="L17" i="7"/>
  <c r="N17" i="7"/>
  <c r="L9" i="7"/>
  <c r="N9" i="7"/>
  <c r="J84" i="9"/>
  <c r="T84" i="9"/>
  <c r="C63" i="9"/>
  <c r="O63" i="7"/>
  <c r="T51" i="9"/>
  <c r="J51" i="9"/>
  <c r="E92" i="9"/>
  <c r="M92" i="7"/>
  <c r="P92" i="7"/>
  <c r="K92" i="7"/>
  <c r="T50" i="9"/>
  <c r="J50" i="9"/>
  <c r="T144" i="9"/>
  <c r="J144" i="9"/>
  <c r="T54" i="9"/>
  <c r="J54" i="9"/>
  <c r="N119" i="7"/>
  <c r="G52" i="9"/>
  <c r="G102" i="9"/>
  <c r="AA80" i="10"/>
  <c r="AA52" i="10"/>
  <c r="AA48" i="10"/>
  <c r="AA76" i="10"/>
  <c r="G136" i="9"/>
  <c r="N183" i="7"/>
  <c r="G173" i="9"/>
  <c r="L107" i="7"/>
  <c r="N107" i="7" s="1"/>
  <c r="L99" i="7"/>
  <c r="N99" i="7"/>
  <c r="E176" i="9"/>
  <c r="M176" i="7"/>
  <c r="K176" i="7"/>
  <c r="N180" i="7"/>
  <c r="T173" i="9"/>
  <c r="J173" i="9"/>
  <c r="T163" i="9"/>
  <c r="J163" i="9"/>
  <c r="J153" i="9"/>
  <c r="T153" i="9"/>
  <c r="J172" i="9"/>
  <c r="T172" i="9"/>
  <c r="P161" i="7"/>
  <c r="L126" i="7"/>
  <c r="N126" i="7" s="1"/>
  <c r="J185" i="9"/>
  <c r="T185" i="9"/>
  <c r="E169" i="9"/>
  <c r="K169" i="7"/>
  <c r="L169" i="7" s="1"/>
  <c r="M169" i="7"/>
  <c r="P169" i="7"/>
  <c r="G145" i="9"/>
  <c r="E162" i="9"/>
  <c r="K162" i="7"/>
  <c r="L162" i="7" s="1"/>
  <c r="M162" i="7"/>
  <c r="N162" i="7" s="1"/>
  <c r="G87" i="9"/>
  <c r="J79" i="9"/>
  <c r="T79" i="9"/>
  <c r="G49" i="9"/>
  <c r="L40" i="7"/>
  <c r="N40" i="7"/>
  <c r="L32" i="7"/>
  <c r="N32" i="7"/>
  <c r="L24" i="7"/>
  <c r="N24" i="7" s="1"/>
  <c r="L16" i="7"/>
  <c r="N16" i="7"/>
  <c r="E68" i="9"/>
  <c r="M68" i="7"/>
  <c r="K68" i="7"/>
  <c r="P68" i="7"/>
  <c r="N55" i="7"/>
  <c r="G42" i="9"/>
  <c r="E76" i="9"/>
  <c r="M76" i="7"/>
  <c r="P76" i="7"/>
  <c r="K76" i="7"/>
  <c r="T98" i="9"/>
  <c r="J98" i="9"/>
  <c r="T91" i="9"/>
  <c r="J91" i="9"/>
  <c r="T23" i="9"/>
  <c r="J23" i="9"/>
  <c r="L48" i="7"/>
  <c r="N48" i="7" s="1"/>
  <c r="L35" i="7"/>
  <c r="N35" i="7" s="1"/>
  <c r="AA41" i="10"/>
  <c r="N30" i="10"/>
  <c r="S24" i="10"/>
  <c r="S52" i="10" s="1"/>
  <c r="S20" i="10"/>
  <c r="S48" i="10" s="1"/>
  <c r="Y40" i="10"/>
  <c r="Y29" i="10"/>
  <c r="R24" i="10"/>
  <c r="R20" i="10"/>
  <c r="R48" i="10" s="1"/>
  <c r="X40" i="10"/>
  <c r="W29" i="10"/>
  <c r="Q24" i="10"/>
  <c r="Q20" i="10"/>
  <c r="Q48" i="10" s="1"/>
  <c r="Z40" i="10"/>
  <c r="X22" i="10"/>
  <c r="X50" i="10" s="1"/>
  <c r="J26" i="10"/>
  <c r="U30" i="10"/>
  <c r="X37" i="10"/>
  <c r="V19" i="10"/>
  <c r="V47" i="10" s="1"/>
  <c r="Q22" i="10"/>
  <c r="Q50" i="10" s="1"/>
  <c r="U25" i="10"/>
  <c r="U53" i="10" s="1"/>
  <c r="AA29" i="10"/>
  <c r="W36" i="10"/>
  <c r="O28" i="10"/>
  <c r="Y32" i="10"/>
  <c r="Z41" i="10"/>
  <c r="T20" i="10"/>
  <c r="T48" i="10" s="1"/>
  <c r="U23" i="10"/>
  <c r="U51" i="10" s="1"/>
  <c r="N27" i="10"/>
  <c r="S32" i="10"/>
  <c r="D18" i="10"/>
  <c r="L21" i="10"/>
  <c r="M21" i="10"/>
  <c r="M49" i="10" s="1"/>
  <c r="Y28" i="10"/>
  <c r="Z18" i="10"/>
  <c r="Z46" i="10" s="1"/>
  <c r="V24" i="10"/>
  <c r="V52" i="10" s="1"/>
  <c r="W35" i="10"/>
  <c r="T21" i="10"/>
  <c r="T49" i="10" s="1"/>
  <c r="O29" i="10"/>
  <c r="S19" i="10"/>
  <c r="S47" i="10" s="1"/>
  <c r="Y25" i="10"/>
  <c r="Y53" i="10" s="1"/>
  <c r="J176" i="9"/>
  <c r="T176" i="9"/>
  <c r="T160" i="9"/>
  <c r="J160" i="9"/>
  <c r="T149" i="9"/>
  <c r="J149" i="9"/>
  <c r="E184" i="9"/>
  <c r="M184" i="7"/>
  <c r="K184" i="7"/>
  <c r="L184" i="7" s="1"/>
  <c r="J154" i="9"/>
  <c r="T154" i="9"/>
  <c r="G138" i="9"/>
  <c r="G130" i="9"/>
  <c r="L122" i="7"/>
  <c r="N122" i="7"/>
  <c r="L106" i="7"/>
  <c r="N106" i="7" s="1"/>
  <c r="P149" i="7"/>
  <c r="G127" i="9"/>
  <c r="G119" i="9"/>
  <c r="P162" i="7"/>
  <c r="G131" i="9"/>
  <c r="E170" i="9"/>
  <c r="K170" i="7"/>
  <c r="L170" i="7" s="1"/>
  <c r="M170" i="7"/>
  <c r="N153" i="7"/>
  <c r="T131" i="9"/>
  <c r="J131" i="9"/>
  <c r="T120" i="9"/>
  <c r="J120" i="9"/>
  <c r="E158" i="9"/>
  <c r="K158" i="7"/>
  <c r="L158" i="7" s="1"/>
  <c r="M158" i="7"/>
  <c r="P158" i="7"/>
  <c r="J117" i="9"/>
  <c r="T117" i="9"/>
  <c r="G148" i="9"/>
  <c r="T115" i="9"/>
  <c r="J115" i="9"/>
  <c r="J119" i="9"/>
  <c r="T119" i="9"/>
  <c r="J112" i="9"/>
  <c r="T112" i="9"/>
  <c r="T99" i="9"/>
  <c r="J99" i="9"/>
  <c r="E131" i="9"/>
  <c r="M131" i="7"/>
  <c r="K131" i="7"/>
  <c r="L131" i="7" s="1"/>
  <c r="E168" i="9"/>
  <c r="M168" i="7"/>
  <c r="K168" i="7"/>
  <c r="N135" i="7"/>
  <c r="J95" i="9"/>
  <c r="T95" i="9"/>
  <c r="G73" i="9"/>
  <c r="L53" i="7"/>
  <c r="N53" i="7"/>
  <c r="L39" i="7"/>
  <c r="N39" i="7" s="1"/>
  <c r="L31" i="7"/>
  <c r="N31" i="7"/>
  <c r="E95" i="9"/>
  <c r="M95" i="7"/>
  <c r="K95" i="7"/>
  <c r="E60" i="9"/>
  <c r="M60" i="7"/>
  <c r="K60" i="7"/>
  <c r="P60" i="7"/>
  <c r="E52" i="9"/>
  <c r="M52" i="7"/>
  <c r="K52" i="7"/>
  <c r="T58" i="9"/>
  <c r="J58" i="9"/>
  <c r="T62" i="9"/>
  <c r="J62" i="9"/>
  <c r="J69" i="9"/>
  <c r="T69" i="9"/>
  <c r="N58" i="7"/>
  <c r="AA93" i="10"/>
  <c r="AA65" i="10"/>
  <c r="AA84" i="10"/>
  <c r="AA56" i="10"/>
  <c r="AA66" i="10"/>
  <c r="AA94" i="10"/>
  <c r="AA47" i="10"/>
  <c r="AA75" i="10"/>
  <c r="AA82" i="10"/>
  <c r="AA54" i="10"/>
  <c r="S34" i="10"/>
  <c r="O26" i="10"/>
  <c r="T22" i="10"/>
  <c r="T50" i="10" s="1"/>
  <c r="R18" i="10"/>
  <c r="R46" i="10" s="1"/>
  <c r="R34" i="10"/>
  <c r="AA25" i="10"/>
  <c r="K21" i="10"/>
  <c r="Q18" i="10"/>
  <c r="Q46" i="10" s="1"/>
  <c r="P31" i="10"/>
  <c r="Z25" i="10"/>
  <c r="Z53" i="10" s="1"/>
  <c r="J21" i="10"/>
  <c r="X39" i="10"/>
  <c r="S28" i="10"/>
  <c r="V22" i="10"/>
  <c r="V50" i="10" s="1"/>
  <c r="T19" i="10"/>
  <c r="T47" i="10" s="1"/>
  <c r="AA39" i="10"/>
  <c r="M24" i="10"/>
  <c r="Z39" i="10"/>
  <c r="L24" i="10"/>
  <c r="W34" i="10"/>
  <c r="U22" i="10"/>
  <c r="U50" i="10" s="1"/>
  <c r="L28" i="10"/>
  <c r="V18" i="10"/>
  <c r="V46" i="10" s="1"/>
  <c r="Z19" i="10"/>
  <c r="Z47" i="10" s="1"/>
  <c r="Y19" i="10"/>
  <c r="Y47" i="10" s="1"/>
  <c r="N24" i="10"/>
  <c r="AA30" i="10"/>
  <c r="T28" i="10"/>
  <c r="I21" i="10"/>
  <c r="O31" i="10"/>
  <c r="G165" i="9"/>
  <c r="L113" i="7"/>
  <c r="N113" i="7" s="1"/>
  <c r="L105" i="7"/>
  <c r="N105" i="7"/>
  <c r="G142" i="9"/>
  <c r="N134" i="7"/>
  <c r="P172" i="7"/>
  <c r="T113" i="9"/>
  <c r="J113" i="9"/>
  <c r="G160" i="9"/>
  <c r="T151" i="9"/>
  <c r="J151" i="9"/>
  <c r="T137" i="9"/>
  <c r="J137" i="9"/>
  <c r="J179" i="9"/>
  <c r="T179" i="9"/>
  <c r="J169" i="9"/>
  <c r="T169" i="9"/>
  <c r="G177" i="9"/>
  <c r="N161" i="7"/>
  <c r="L148" i="7"/>
  <c r="N148" i="7" s="1"/>
  <c r="E133" i="9"/>
  <c r="K133" i="7"/>
  <c r="L133" i="7" s="1"/>
  <c r="M133" i="7"/>
  <c r="P133" i="7"/>
  <c r="G114" i="9"/>
  <c r="G118" i="9"/>
  <c r="P180" i="7"/>
  <c r="T166" i="9"/>
  <c r="J166" i="9"/>
  <c r="J116" i="9"/>
  <c r="T116" i="9"/>
  <c r="J68" i="9"/>
  <c r="T68" i="9"/>
  <c r="L46" i="7"/>
  <c r="N46" i="7" s="1"/>
  <c r="L38" i="7"/>
  <c r="N38" i="7" s="1"/>
  <c r="L30" i="7"/>
  <c r="N30" i="7"/>
  <c r="L22" i="7"/>
  <c r="N22" i="7" s="1"/>
  <c r="L14" i="7"/>
  <c r="N14" i="7" s="1"/>
  <c r="E185" i="9"/>
  <c r="K185" i="7"/>
  <c r="L185" i="7" s="1"/>
  <c r="M185" i="7"/>
  <c r="J92" i="9"/>
  <c r="T92" i="9"/>
  <c r="L51" i="7"/>
  <c r="N51" i="7" s="1"/>
  <c r="G183" i="9"/>
  <c r="J111" i="9"/>
  <c r="T111" i="9"/>
  <c r="T46" i="9"/>
  <c r="J46" i="9"/>
  <c r="T14" i="9"/>
  <c r="J14" i="9"/>
  <c r="G83" i="9"/>
  <c r="X36" i="10"/>
  <c r="R28" i="10"/>
  <c r="Q23" i="10"/>
  <c r="Q51" i="10" s="1"/>
  <c r="X19" i="10"/>
  <c r="X47" i="10" s="1"/>
  <c r="U36" i="10"/>
  <c r="Q28" i="10"/>
  <c r="P23" i="10"/>
  <c r="W19" i="10"/>
  <c r="W47" i="10" s="1"/>
  <c r="T36" i="10"/>
  <c r="P28" i="10"/>
  <c r="O23" i="10"/>
  <c r="U19" i="10"/>
  <c r="U47" i="10" s="1"/>
  <c r="U20" i="10"/>
  <c r="U48" i="10" s="1"/>
  <c r="S23" i="10"/>
  <c r="S51" i="10" s="1"/>
  <c r="K27" i="10"/>
  <c r="Z31" i="10"/>
  <c r="AA40" i="10"/>
  <c r="N20" i="10"/>
  <c r="N48" i="10" s="1"/>
  <c r="L23" i="10"/>
  <c r="T26" i="10"/>
  <c r="R31" i="10"/>
  <c r="W39" i="10"/>
  <c r="P29" i="10"/>
  <c r="T34" i="10"/>
  <c r="Q33" i="10"/>
  <c r="H18" i="10"/>
  <c r="H46" i="10" s="1"/>
  <c r="P20" i="10"/>
  <c r="P48" i="10" s="1"/>
  <c r="R23" i="10"/>
  <c r="R51" i="10" s="1"/>
  <c r="M27" i="10"/>
  <c r="X34" i="10"/>
  <c r="X18" i="10"/>
  <c r="X46" i="10" s="1"/>
  <c r="H23" i="10"/>
  <c r="T31" i="10"/>
  <c r="E20" i="10"/>
  <c r="U26" i="10"/>
  <c r="AA43" i="10"/>
  <c r="J23" i="10"/>
  <c r="P32" i="10"/>
  <c r="Z20" i="10"/>
  <c r="Z48" i="10" s="1"/>
  <c r="AA27" i="10"/>
  <c r="G179" i="9"/>
  <c r="G163" i="9"/>
  <c r="J141" i="9"/>
  <c r="T141" i="9"/>
  <c r="T186" i="9"/>
  <c r="J186" i="9"/>
  <c r="J178" i="9"/>
  <c r="T178" i="9"/>
  <c r="L120" i="7"/>
  <c r="N120" i="7" s="1"/>
  <c r="L104" i="7"/>
  <c r="N104" i="7"/>
  <c r="N177" i="7"/>
  <c r="T174" i="9"/>
  <c r="J174" i="9"/>
  <c r="T142" i="9"/>
  <c r="J142" i="9"/>
  <c r="J136" i="9"/>
  <c r="T136" i="9"/>
  <c r="T121" i="9"/>
  <c r="J121" i="9"/>
  <c r="N163" i="7"/>
  <c r="P150" i="7"/>
  <c r="N142" i="7"/>
  <c r="N136" i="7"/>
  <c r="G178" i="9"/>
  <c r="G167" i="9"/>
  <c r="T165" i="9"/>
  <c r="J165" i="9"/>
  <c r="G115" i="9"/>
  <c r="N160" i="7"/>
  <c r="G159" i="9"/>
  <c r="T138" i="9"/>
  <c r="J138" i="9"/>
  <c r="T123" i="9"/>
  <c r="J123" i="9"/>
  <c r="J140" i="9"/>
  <c r="T140" i="9"/>
  <c r="J127" i="9"/>
  <c r="T127" i="9"/>
  <c r="J103" i="9"/>
  <c r="T103" i="9"/>
  <c r="E90" i="9"/>
  <c r="M90" i="7"/>
  <c r="K90" i="7"/>
  <c r="P90" i="7"/>
  <c r="G65" i="9"/>
  <c r="L45" i="7"/>
  <c r="N45" i="7" s="1"/>
  <c r="L37" i="7"/>
  <c r="N37" i="7" s="1"/>
  <c r="L29" i="7"/>
  <c r="N29" i="7"/>
  <c r="L13" i="7"/>
  <c r="N13" i="7" s="1"/>
  <c r="J110" i="9"/>
  <c r="T110" i="9"/>
  <c r="T105" i="9"/>
  <c r="J105" i="9"/>
  <c r="E79" i="9"/>
  <c r="M79" i="7"/>
  <c r="K79" i="7"/>
  <c r="N112" i="7"/>
  <c r="T89" i="9"/>
  <c r="J89" i="9"/>
  <c r="P168" i="7"/>
  <c r="T96" i="9"/>
  <c r="J96" i="9"/>
  <c r="N47" i="7"/>
  <c r="G56" i="9"/>
  <c r="N71" i="7"/>
  <c r="T67" i="9"/>
  <c r="J67" i="9"/>
  <c r="G45" i="9"/>
  <c r="G41" i="9"/>
  <c r="G37" i="9"/>
  <c r="G29" i="9"/>
  <c r="L146" i="7"/>
  <c r="N146" i="7" s="1"/>
  <c r="E182" i="9"/>
  <c r="M182" i="7"/>
  <c r="K182" i="7"/>
  <c r="L182" i="7" s="1"/>
  <c r="G101" i="9"/>
  <c r="T82" i="9"/>
  <c r="J82" i="9"/>
  <c r="G10" i="9"/>
  <c r="G5" i="9"/>
  <c r="T22" i="9"/>
  <c r="J22" i="9"/>
  <c r="E58" i="9"/>
  <c r="M58" i="7"/>
  <c r="P58" i="7"/>
  <c r="K58" i="7"/>
  <c r="L58" i="7" s="1"/>
  <c r="T38" i="9"/>
  <c r="J38" i="9"/>
  <c r="T30" i="9"/>
  <c r="J30" i="9"/>
  <c r="N91" i="7"/>
  <c r="T94" i="9"/>
  <c r="J94" i="9"/>
  <c r="N64" i="7"/>
  <c r="T73" i="9"/>
  <c r="J73" i="9"/>
  <c r="G9" i="9"/>
  <c r="J17" i="9"/>
  <c r="T17" i="9"/>
  <c r="J13" i="9"/>
  <c r="T13" i="9"/>
  <c r="J9" i="9"/>
  <c r="T9" i="9"/>
  <c r="T7" i="9"/>
  <c r="J7" i="9"/>
  <c r="E73" i="9"/>
  <c r="M73" i="7"/>
  <c r="K73" i="7"/>
  <c r="L73" i="7" s="1"/>
  <c r="N72" i="7"/>
  <c r="N15" i="7"/>
  <c r="N5" i="7"/>
  <c r="J34" i="9"/>
  <c r="T34" i="9"/>
  <c r="G22" i="9"/>
  <c r="J18" i="9"/>
  <c r="T18" i="9"/>
  <c r="T44" i="9"/>
  <c r="J44" i="9"/>
  <c r="T64" i="9"/>
  <c r="J64" i="9"/>
  <c r="J109" i="9"/>
  <c r="T109" i="9"/>
  <c r="E74" i="9"/>
  <c r="M74" i="7"/>
  <c r="P74" i="7"/>
  <c r="K74" i="7"/>
  <c r="L74" i="7" s="1"/>
  <c r="E66" i="9"/>
  <c r="M66" i="7"/>
  <c r="P66" i="7"/>
  <c r="K66" i="7"/>
  <c r="L66" i="7" s="1"/>
  <c r="J36" i="9"/>
  <c r="T36" i="9"/>
  <c r="N8" i="7"/>
  <c r="G17" i="9"/>
  <c r="G7" i="9"/>
  <c r="J45" i="9"/>
  <c r="T45" i="9"/>
  <c r="G6" i="9"/>
  <c r="N73" i="7"/>
  <c r="N6" i="7"/>
  <c r="N10" i="7"/>
  <c r="T78" i="9"/>
  <c r="J78" i="9"/>
  <c r="E49" i="9"/>
  <c r="M49" i="7"/>
  <c r="N49" i="7" s="1"/>
  <c r="K49" i="7"/>
  <c r="L49" i="7" s="1"/>
  <c r="T4" i="9"/>
  <c r="J4" i="9"/>
  <c r="G93" i="9"/>
  <c r="T27" i="9"/>
  <c r="J27" i="9"/>
  <c r="E50" i="9"/>
  <c r="M50" i="7"/>
  <c r="P50" i="7"/>
  <c r="K50" i="7"/>
  <c r="L50" i="7" s="1"/>
  <c r="J20" i="9"/>
  <c r="T20" i="9"/>
  <c r="T21" i="9"/>
  <c r="J21" i="9"/>
  <c r="G14" i="9"/>
  <c r="E4" i="9"/>
  <c r="K4" i="7"/>
  <c r="L4" i="7" s="1"/>
  <c r="M4" i="7"/>
  <c r="J88" i="9"/>
  <c r="T88" i="9"/>
  <c r="E78" i="9"/>
  <c r="M78" i="7"/>
  <c r="K78" i="7"/>
  <c r="L78" i="7" s="1"/>
  <c r="P78" i="7"/>
  <c r="J25" i="9"/>
  <c r="T25" i="9"/>
  <c r="T40" i="9"/>
  <c r="J40" i="9"/>
  <c r="T102" i="9"/>
  <c r="J102" i="9"/>
  <c r="E89" i="9"/>
  <c r="M89" i="7"/>
  <c r="P89" i="7"/>
  <c r="K89" i="7"/>
  <c r="L89" i="7" s="1"/>
  <c r="G111" i="9"/>
  <c r="E91" i="9"/>
  <c r="M91" i="7"/>
  <c r="K91" i="7"/>
  <c r="L91" i="7" s="1"/>
  <c r="E64" i="9"/>
  <c r="M64" i="7"/>
  <c r="K64" i="7"/>
  <c r="L64" i="7" s="1"/>
  <c r="T35" i="9"/>
  <c r="J35" i="9"/>
  <c r="G8" i="9"/>
  <c r="E83" i="9"/>
  <c r="M83" i="7"/>
  <c r="N83" i="7" s="1"/>
  <c r="K83" i="7"/>
  <c r="L83" i="7" s="1"/>
  <c r="T32" i="9"/>
  <c r="J32" i="9"/>
  <c r="G48" i="9"/>
  <c r="E72" i="9"/>
  <c r="M72" i="7"/>
  <c r="K72" i="7"/>
  <c r="L72" i="7" s="1"/>
  <c r="J55" i="9"/>
  <c r="T55" i="9"/>
  <c r="T16" i="9"/>
  <c r="J16" i="9"/>
  <c r="G31" i="9"/>
  <c r="E84" i="9"/>
  <c r="M84" i="7"/>
  <c r="P84" i="7"/>
  <c r="K84" i="7"/>
  <c r="T81" i="9"/>
  <c r="J81" i="9"/>
  <c r="N144" i="7"/>
  <c r="T106" i="9"/>
  <c r="J106" i="9"/>
  <c r="E96" i="9"/>
  <c r="M96" i="7"/>
  <c r="K96" i="7"/>
  <c r="P96" i="7"/>
  <c r="J85" i="9"/>
  <c r="T85" i="9"/>
  <c r="E93" i="9"/>
  <c r="M93" i="7"/>
  <c r="K93" i="7"/>
  <c r="P91" i="7"/>
  <c r="T86" i="9"/>
  <c r="J86" i="9"/>
  <c r="E75" i="9"/>
  <c r="M75" i="7"/>
  <c r="K75" i="7"/>
  <c r="L75" i="7" s="1"/>
  <c r="P75" i="7"/>
  <c r="G67" i="9"/>
  <c r="N65" i="7"/>
  <c r="J124" i="9"/>
  <c r="T124" i="9"/>
  <c r="J33" i="9"/>
  <c r="T33" i="9"/>
  <c r="T11" i="9"/>
  <c r="J11" i="9"/>
  <c r="E57" i="9"/>
  <c r="M57" i="7"/>
  <c r="K57" i="7"/>
  <c r="L57" i="7" s="1"/>
  <c r="J72" i="9"/>
  <c r="T72" i="9"/>
  <c r="J63" i="9"/>
  <c r="T63" i="9"/>
  <c r="P72" i="7"/>
  <c r="J71" i="9"/>
  <c r="T71" i="9"/>
  <c r="E62" i="9"/>
  <c r="M62" i="7"/>
  <c r="P62" i="7"/>
  <c r="K62" i="7"/>
  <c r="G51" i="9"/>
  <c r="G104" i="9"/>
  <c r="J56" i="9"/>
  <c r="T56" i="9"/>
  <c r="T24" i="9"/>
  <c r="J24" i="9"/>
  <c r="G13" i="9"/>
  <c r="J41" i="9"/>
  <c r="T41" i="9"/>
  <c r="T37" i="9"/>
  <c r="J37" i="9"/>
  <c r="G116" i="9"/>
  <c r="J156" i="9"/>
  <c r="T156" i="9"/>
  <c r="J145" i="9"/>
  <c r="T145" i="9"/>
  <c r="J87" i="9"/>
  <c r="T87" i="9"/>
  <c r="E166" i="9"/>
  <c r="M166" i="7"/>
  <c r="N166" i="7" s="1"/>
  <c r="K166" i="7"/>
  <c r="L166" i="7" s="1"/>
  <c r="J139" i="9"/>
  <c r="T139" i="9"/>
  <c r="T97" i="9"/>
  <c r="J97" i="9"/>
  <c r="T66" i="9"/>
  <c r="J66" i="9"/>
  <c r="J47" i="9"/>
  <c r="T47" i="9"/>
  <c r="N182" i="7"/>
  <c r="G103" i="9"/>
  <c r="E88" i="9"/>
  <c r="M88" i="7"/>
  <c r="K88" i="7"/>
  <c r="P88" i="7"/>
  <c r="J77" i="9"/>
  <c r="T77" i="9"/>
  <c r="E137" i="9"/>
  <c r="M137" i="7"/>
  <c r="K137" i="7"/>
  <c r="L137" i="7" s="1"/>
  <c r="T90" i="9"/>
  <c r="J90" i="9"/>
  <c r="T57" i="9"/>
  <c r="J57" i="9"/>
  <c r="T6" i="9"/>
  <c r="J6" i="9"/>
  <c r="B24" i="6"/>
  <c r="E54" i="9"/>
  <c r="M54" i="7"/>
  <c r="P54" i="7"/>
  <c r="K54" i="7"/>
  <c r="L54" i="7" s="1"/>
  <c r="E70" i="9"/>
  <c r="M70" i="7"/>
  <c r="K70" i="7"/>
  <c r="N57" i="7"/>
  <c r="J49" i="9"/>
  <c r="T49" i="9"/>
  <c r="E47" i="9"/>
  <c r="M47" i="7"/>
  <c r="K47" i="7"/>
  <c r="L47" i="7" s="1"/>
  <c r="P47" i="7"/>
  <c r="T31" i="9"/>
  <c r="J31" i="9"/>
  <c r="P70" i="7"/>
  <c r="J61" i="9"/>
  <c r="T61" i="9"/>
  <c r="J28" i="9"/>
  <c r="T28" i="9"/>
  <c r="T83" i="9"/>
  <c r="J83" i="9"/>
  <c r="E94" i="9"/>
  <c r="M94" i="7"/>
  <c r="N94" i="7" s="1"/>
  <c r="K94" i="7"/>
  <c r="L94" i="7" s="1"/>
  <c r="P94" i="7"/>
  <c r="T75" i="9"/>
  <c r="J75" i="9"/>
  <c r="N4" i="7"/>
  <c r="N23" i="7"/>
  <c r="N42" i="7"/>
  <c r="G34" i="9"/>
  <c r="G26" i="9"/>
  <c r="T74" i="9"/>
  <c r="J74" i="9"/>
  <c r="G108" i="9"/>
  <c r="E80" i="9"/>
  <c r="M80" i="7"/>
  <c r="K80" i="7"/>
  <c r="P80" i="7"/>
  <c r="T48" i="9"/>
  <c r="J48" i="9"/>
  <c r="N54" i="7"/>
  <c r="J26" i="9"/>
  <c r="T26" i="9"/>
  <c r="G18" i="9"/>
  <c r="N7" i="7"/>
  <c r="L7" i="7"/>
  <c r="P64" i="7"/>
  <c r="J53" i="9"/>
  <c r="T53" i="9"/>
  <c r="E86" i="9"/>
  <c r="M86" i="7"/>
  <c r="P86" i="7"/>
  <c r="K86" i="7"/>
  <c r="L86" i="7" s="1"/>
  <c r="G59" i="9"/>
  <c r="T5" i="9"/>
  <c r="J5" i="9"/>
  <c r="J42" i="9"/>
  <c r="T42" i="9"/>
  <c r="T80" i="9"/>
  <c r="J80" i="9"/>
  <c r="E56" i="9"/>
  <c r="M56" i="7"/>
  <c r="K56" i="7"/>
  <c r="L56" i="7" s="1"/>
  <c r="G21" i="9"/>
  <c r="T8" i="9"/>
  <c r="J8" i="9"/>
  <c r="T65" i="9"/>
  <c r="J65" i="9"/>
  <c r="T43" i="9"/>
  <c r="J43" i="9"/>
  <c r="J29" i="9"/>
  <c r="T29" i="9"/>
  <c r="J12" i="9"/>
  <c r="T12" i="9"/>
  <c r="E97" i="9"/>
  <c r="M97" i="7"/>
  <c r="P97" i="7"/>
  <c r="K97" i="7"/>
  <c r="L97" i="7" s="1"/>
  <c r="N18" i="7"/>
  <c r="J126" i="9"/>
  <c r="T126" i="9"/>
  <c r="B25" i="6"/>
  <c r="B26" i="6" s="1"/>
  <c r="E81" i="9"/>
  <c r="M81" i="7"/>
  <c r="P81" i="7"/>
  <c r="K81" i="7"/>
  <c r="L81" i="7" s="1"/>
  <c r="T39" i="9"/>
  <c r="J39" i="9"/>
  <c r="B27" i="6" l="1"/>
  <c r="C67" i="9"/>
  <c r="O67" i="7"/>
  <c r="C120" i="9"/>
  <c r="O120" i="7"/>
  <c r="C116" i="9"/>
  <c r="O116" i="7"/>
  <c r="C94" i="9"/>
  <c r="O94" i="7"/>
  <c r="C113" i="9"/>
  <c r="O113" i="7"/>
  <c r="C19" i="9"/>
  <c r="O19" i="7"/>
  <c r="C124" i="9"/>
  <c r="O124" i="7"/>
  <c r="C146" i="9"/>
  <c r="O146" i="7"/>
  <c r="C24" i="9"/>
  <c r="O24" i="7"/>
  <c r="C36" i="9"/>
  <c r="O36" i="7"/>
  <c r="C22" i="9"/>
  <c r="O22" i="7"/>
  <c r="C102" i="9"/>
  <c r="O102" i="7"/>
  <c r="C103" i="9"/>
  <c r="O103" i="7"/>
  <c r="C51" i="9"/>
  <c r="O51" i="7"/>
  <c r="C45" i="9"/>
  <c r="O45" i="7"/>
  <c r="C148" i="9"/>
  <c r="O148" i="7"/>
  <c r="C39" i="9"/>
  <c r="O39" i="7"/>
  <c r="C126" i="9"/>
  <c r="O126" i="7"/>
  <c r="C107" i="9"/>
  <c r="O107" i="7"/>
  <c r="C123" i="9"/>
  <c r="O123" i="7"/>
  <c r="C13" i="9"/>
  <c r="O13" i="7"/>
  <c r="O69" i="7"/>
  <c r="C69" i="9"/>
  <c r="C28" i="9"/>
  <c r="O28" i="7"/>
  <c r="C14" i="9"/>
  <c r="O14" i="7"/>
  <c r="C21" i="9"/>
  <c r="O21" i="7"/>
  <c r="C83" i="9"/>
  <c r="O83" i="7"/>
  <c r="C162" i="9"/>
  <c r="O162" i="7"/>
  <c r="C166" i="9"/>
  <c r="O166" i="7"/>
  <c r="C37" i="9"/>
  <c r="O37" i="7"/>
  <c r="C38" i="9"/>
  <c r="O38" i="7"/>
  <c r="C106" i="9"/>
  <c r="O106" i="7"/>
  <c r="C35" i="9"/>
  <c r="O35" i="7"/>
  <c r="C34" i="9"/>
  <c r="O34" i="7"/>
  <c r="C129" i="9"/>
  <c r="O129" i="7"/>
  <c r="O49" i="7"/>
  <c r="C49" i="9"/>
  <c r="C27" i="9"/>
  <c r="O27" i="7"/>
  <c r="C25" i="9"/>
  <c r="O25" i="7"/>
  <c r="C110" i="9"/>
  <c r="O110" i="7"/>
  <c r="O111" i="7"/>
  <c r="C111" i="9"/>
  <c r="C20" i="9"/>
  <c r="O20" i="7"/>
  <c r="O61" i="7"/>
  <c r="C61" i="9"/>
  <c r="C178" i="9"/>
  <c r="O178" i="7"/>
  <c r="C46" i="9"/>
  <c r="O46" i="7"/>
  <c r="C48" i="9"/>
  <c r="O48" i="7"/>
  <c r="C11" i="9"/>
  <c r="O11" i="7"/>
  <c r="C118" i="9"/>
  <c r="O118" i="7"/>
  <c r="L88" i="7"/>
  <c r="N88" i="7"/>
  <c r="L84" i="7"/>
  <c r="N84" i="7"/>
  <c r="C10" i="9"/>
  <c r="O10" i="7"/>
  <c r="N81" i="7"/>
  <c r="L93" i="7"/>
  <c r="N93" i="7"/>
  <c r="G84" i="9"/>
  <c r="G78" i="9"/>
  <c r="C6" i="9"/>
  <c r="O6" i="7"/>
  <c r="C72" i="9"/>
  <c r="O72" i="7"/>
  <c r="C91" i="9"/>
  <c r="O91" i="7"/>
  <c r="N78" i="7"/>
  <c r="C47" i="9"/>
  <c r="O47" i="7"/>
  <c r="G90" i="9"/>
  <c r="AA81" i="10"/>
  <c r="AA53" i="10"/>
  <c r="L60" i="7"/>
  <c r="N60" i="7" s="1"/>
  <c r="AA85" i="10"/>
  <c r="AA57" i="10"/>
  <c r="L76" i="7"/>
  <c r="N76" i="7"/>
  <c r="G161" i="9"/>
  <c r="G92" i="9"/>
  <c r="N131" i="7"/>
  <c r="AA91" i="10"/>
  <c r="AA63" i="10"/>
  <c r="H15" i="8"/>
  <c r="L85" i="7"/>
  <c r="N85" i="7" s="1"/>
  <c r="N179" i="7"/>
  <c r="F175" i="9"/>
  <c r="Q175" i="7"/>
  <c r="F140" i="9"/>
  <c r="Q140" i="7"/>
  <c r="L90" i="7"/>
  <c r="N90" i="7" s="1"/>
  <c r="G172" i="9"/>
  <c r="G76" i="9"/>
  <c r="C55" i="9"/>
  <c r="O55" i="7"/>
  <c r="C180" i="9"/>
  <c r="O180" i="7"/>
  <c r="N172" i="7"/>
  <c r="I15" i="8"/>
  <c r="C44" i="9"/>
  <c r="O44" i="7"/>
  <c r="C100" i="9"/>
  <c r="O100" i="7"/>
  <c r="C109" i="9"/>
  <c r="O109" i="7"/>
  <c r="C105" i="9"/>
  <c r="O105" i="7"/>
  <c r="G97" i="9"/>
  <c r="C23" i="9"/>
  <c r="O23" i="7"/>
  <c r="G94" i="9"/>
  <c r="B28" i="6"/>
  <c r="G72" i="9"/>
  <c r="N56" i="7"/>
  <c r="C73" i="9"/>
  <c r="O73" i="7"/>
  <c r="C8" i="9"/>
  <c r="O8" i="7"/>
  <c r="G74" i="9"/>
  <c r="N66" i="7"/>
  <c r="L79" i="7"/>
  <c r="N79" i="7" s="1"/>
  <c r="C160" i="9"/>
  <c r="O160" i="7"/>
  <c r="AA99" i="10"/>
  <c r="AA71" i="10"/>
  <c r="N150" i="7"/>
  <c r="O53" i="7"/>
  <c r="C53" i="9"/>
  <c r="N171" i="7"/>
  <c r="C122" i="9"/>
  <c r="O122" i="7"/>
  <c r="G68" i="9"/>
  <c r="C32" i="9"/>
  <c r="O32" i="7"/>
  <c r="L176" i="7"/>
  <c r="N176" i="7" s="1"/>
  <c r="C9" i="9"/>
  <c r="O9" i="7"/>
  <c r="C41" i="9"/>
  <c r="O41" i="7"/>
  <c r="L98" i="7"/>
  <c r="N98" i="7" s="1"/>
  <c r="F155" i="9"/>
  <c r="Q155" i="7"/>
  <c r="C156" i="9"/>
  <c r="O156" i="7"/>
  <c r="L143" i="7"/>
  <c r="N143" i="7"/>
  <c r="C145" i="9"/>
  <c r="O145" i="7"/>
  <c r="F15" i="8"/>
  <c r="N170" i="7"/>
  <c r="F181" i="9"/>
  <c r="Q181" i="7"/>
  <c r="G162" i="9"/>
  <c r="C33" i="9"/>
  <c r="O33" i="7"/>
  <c r="C125" i="9"/>
  <c r="O125" i="7"/>
  <c r="C144" i="9"/>
  <c r="O144" i="7"/>
  <c r="G50" i="9"/>
  <c r="N50" i="7"/>
  <c r="N74" i="7"/>
  <c r="C177" i="9"/>
  <c r="O177" i="7"/>
  <c r="G180" i="9"/>
  <c r="C134" i="9"/>
  <c r="O134" i="7"/>
  <c r="AA86" i="10"/>
  <c r="AA58" i="10"/>
  <c r="L95" i="7"/>
  <c r="N95" i="7" s="1"/>
  <c r="C135" i="9"/>
  <c r="O135" i="7"/>
  <c r="L68" i="7"/>
  <c r="N68" i="7" s="1"/>
  <c r="G98" i="9"/>
  <c r="C167" i="9"/>
  <c r="O167" i="7"/>
  <c r="L149" i="7"/>
  <c r="N149" i="7"/>
  <c r="B15" i="8"/>
  <c r="G77" i="9"/>
  <c r="G141" i="9"/>
  <c r="N158" i="7"/>
  <c r="F157" i="9"/>
  <c r="Q157" i="7"/>
  <c r="F154" i="9"/>
  <c r="Q154" i="7"/>
  <c r="C65" i="9"/>
  <c r="O65" i="7"/>
  <c r="C5" i="9"/>
  <c r="O5" i="7"/>
  <c r="C30" i="9"/>
  <c r="O30" i="7"/>
  <c r="C58" i="9"/>
  <c r="O58" i="7"/>
  <c r="L52" i="7"/>
  <c r="N52" i="7"/>
  <c r="AA69" i="10"/>
  <c r="AA97" i="10"/>
  <c r="C40" i="9"/>
  <c r="O40" i="7"/>
  <c r="C17" i="9"/>
  <c r="O17" i="7"/>
  <c r="C108" i="9"/>
  <c r="O108" i="7"/>
  <c r="C59" i="9"/>
  <c r="O59" i="7"/>
  <c r="C130" i="9"/>
  <c r="O130" i="7"/>
  <c r="N75" i="7"/>
  <c r="AA46" i="10"/>
  <c r="AA74" i="10"/>
  <c r="C15" i="8"/>
  <c r="L77" i="7"/>
  <c r="N77" i="7"/>
  <c r="N185" i="7"/>
  <c r="N169" i="7"/>
  <c r="L141" i="7"/>
  <c r="N141" i="7"/>
  <c r="F165" i="9"/>
  <c r="Q165" i="7"/>
  <c r="F151" i="9"/>
  <c r="Q151" i="7"/>
  <c r="C112" i="9"/>
  <c r="O112" i="7"/>
  <c r="G80" i="9"/>
  <c r="G70" i="9"/>
  <c r="L62" i="7"/>
  <c r="N62" i="7" s="1"/>
  <c r="C29" i="9"/>
  <c r="O29" i="7"/>
  <c r="C136" i="9"/>
  <c r="O136" i="7"/>
  <c r="C104" i="9"/>
  <c r="O104" i="7"/>
  <c r="G62" i="9"/>
  <c r="N86" i="7"/>
  <c r="C15" i="9"/>
  <c r="O15" i="7"/>
  <c r="C64" i="9"/>
  <c r="O64" i="7"/>
  <c r="G168" i="9"/>
  <c r="O142" i="7"/>
  <c r="C142" i="9"/>
  <c r="AA96" i="10"/>
  <c r="AA68" i="10"/>
  <c r="C161" i="9"/>
  <c r="O161" i="7"/>
  <c r="N89" i="7"/>
  <c r="C99" i="9"/>
  <c r="O99" i="7"/>
  <c r="C183" i="9"/>
  <c r="O183" i="7"/>
  <c r="N137" i="7"/>
  <c r="L87" i="7"/>
  <c r="N87" i="7"/>
  <c r="C26" i="9"/>
  <c r="O26" i="7"/>
  <c r="O101" i="7"/>
  <c r="C101" i="9"/>
  <c r="D15" i="8"/>
  <c r="C114" i="9"/>
  <c r="O114" i="7"/>
  <c r="C115" i="9"/>
  <c r="O115" i="7"/>
  <c r="N174" i="7"/>
  <c r="G86" i="9"/>
  <c r="C54" i="9"/>
  <c r="O54" i="7"/>
  <c r="C42" i="9"/>
  <c r="O42" i="7"/>
  <c r="L70" i="7"/>
  <c r="N70" i="7"/>
  <c r="G75" i="9"/>
  <c r="G58" i="9"/>
  <c r="G81" i="9"/>
  <c r="L80" i="7"/>
  <c r="N80" i="7" s="1"/>
  <c r="G96" i="9"/>
  <c r="G88" i="9"/>
  <c r="C182" i="9"/>
  <c r="O182" i="7"/>
  <c r="L96" i="7"/>
  <c r="N96" i="7" s="1"/>
  <c r="G89" i="9"/>
  <c r="G66" i="9"/>
  <c r="G150" i="9"/>
  <c r="AA83" i="10"/>
  <c r="AA55" i="10"/>
  <c r="AA67" i="10"/>
  <c r="AA95" i="10"/>
  <c r="C31" i="9"/>
  <c r="O31" i="7"/>
  <c r="L168" i="7"/>
  <c r="N168" i="7"/>
  <c r="G158" i="9"/>
  <c r="C153" i="9"/>
  <c r="O153" i="7"/>
  <c r="C16" i="9"/>
  <c r="O16" i="7"/>
  <c r="F63" i="9"/>
  <c r="Q63" i="7"/>
  <c r="G82" i="9"/>
  <c r="C121" i="9"/>
  <c r="O121" i="7"/>
  <c r="C43" i="9"/>
  <c r="O43" i="7"/>
  <c r="N147" i="7"/>
  <c r="AA60" i="10"/>
  <c r="AA88" i="10"/>
  <c r="O127" i="7"/>
  <c r="C127" i="9"/>
  <c r="G15" i="8"/>
  <c r="C12" i="9"/>
  <c r="O12" i="7"/>
  <c r="N139" i="7"/>
  <c r="N133" i="7"/>
  <c r="N152" i="7"/>
  <c r="F128" i="9"/>
  <c r="Q128" i="7"/>
  <c r="F159" i="9"/>
  <c r="Q159" i="7"/>
  <c r="N184" i="7"/>
  <c r="C7" i="9"/>
  <c r="O7" i="7"/>
  <c r="G47" i="9"/>
  <c r="C71" i="9"/>
  <c r="O71" i="7"/>
  <c r="C4" i="9"/>
  <c r="O4" i="7"/>
  <c r="C18" i="9"/>
  <c r="O18" i="7"/>
  <c r="G64" i="9"/>
  <c r="N97" i="7"/>
  <c r="C57" i="9"/>
  <c r="O57" i="7"/>
  <c r="G54" i="9"/>
  <c r="G91" i="9"/>
  <c r="C163" i="9"/>
  <c r="O163" i="7"/>
  <c r="G133" i="9"/>
  <c r="G60" i="9"/>
  <c r="G149" i="9"/>
  <c r="G169" i="9"/>
  <c r="C119" i="9"/>
  <c r="O119" i="7"/>
  <c r="L92" i="7"/>
  <c r="N92" i="7"/>
  <c r="L82" i="7"/>
  <c r="N82" i="7"/>
  <c r="C117" i="9"/>
  <c r="O117" i="7"/>
  <c r="C132" i="9"/>
  <c r="O132" i="7"/>
  <c r="Z61" i="10"/>
  <c r="E15" i="8"/>
  <c r="B15" i="10"/>
  <c r="B14" i="10"/>
  <c r="G85" i="9"/>
  <c r="C186" i="9"/>
  <c r="O186" i="7"/>
  <c r="F138" i="9"/>
  <c r="Q138" i="7"/>
  <c r="F173" i="9"/>
  <c r="Q173" i="7"/>
  <c r="F164" i="9"/>
  <c r="Q164" i="7"/>
  <c r="C80" i="9" l="1"/>
  <c r="O80" i="7"/>
  <c r="C96" i="9"/>
  <c r="O96" i="7"/>
  <c r="C97" i="9"/>
  <c r="O97" i="7"/>
  <c r="H173" i="9"/>
  <c r="S173" i="7"/>
  <c r="W173" i="7" s="1"/>
  <c r="T173" i="7"/>
  <c r="X173" i="7" s="1"/>
  <c r="U173" i="7"/>
  <c r="Y173" i="7" s="1"/>
  <c r="R173" i="7"/>
  <c r="V173" i="7" s="1"/>
  <c r="F119" i="9"/>
  <c r="Q119" i="7"/>
  <c r="F12" i="9"/>
  <c r="Q12" i="7"/>
  <c r="H63" i="9"/>
  <c r="T63" i="7"/>
  <c r="X63" i="7" s="1"/>
  <c r="S63" i="7"/>
  <c r="W63" i="7" s="1"/>
  <c r="R63" i="7"/>
  <c r="V63" i="7" s="1"/>
  <c r="U63" i="7"/>
  <c r="F4" i="9"/>
  <c r="Q4" i="7"/>
  <c r="F71" i="9"/>
  <c r="Q71" i="7"/>
  <c r="C133" i="9"/>
  <c r="O133" i="7"/>
  <c r="F31" i="9"/>
  <c r="Q31" i="7"/>
  <c r="C68" i="9"/>
  <c r="O68" i="7"/>
  <c r="O85" i="7"/>
  <c r="C85" i="9"/>
  <c r="C98" i="9"/>
  <c r="O98" i="7"/>
  <c r="C92" i="9"/>
  <c r="O92" i="7"/>
  <c r="F163" i="9"/>
  <c r="Q163" i="7"/>
  <c r="F57" i="9"/>
  <c r="Q57" i="7"/>
  <c r="H164" i="9"/>
  <c r="T164" i="7"/>
  <c r="X164" i="7" s="1"/>
  <c r="R164" i="7"/>
  <c r="V164" i="7" s="1"/>
  <c r="S164" i="7"/>
  <c r="W164" i="7" s="1"/>
  <c r="U164" i="7"/>
  <c r="Y164" i="7" s="1"/>
  <c r="C139" i="9"/>
  <c r="O139" i="7"/>
  <c r="F7" i="9"/>
  <c r="Q7" i="7"/>
  <c r="Q26" i="7"/>
  <c r="F26" i="9"/>
  <c r="C62" i="9"/>
  <c r="O62" i="7"/>
  <c r="E17" i="8"/>
  <c r="C82" i="9"/>
  <c r="O82" i="7"/>
  <c r="F186" i="9"/>
  <c r="Q186" i="7"/>
  <c r="Z97" i="10"/>
  <c r="Z93" i="10"/>
  <c r="Y91" i="10"/>
  <c r="X90" i="10" s="1"/>
  <c r="W89" i="10" s="1"/>
  <c r="Z90" i="10"/>
  <c r="Z77" i="10"/>
  <c r="Y76" i="10" s="1"/>
  <c r="X75" i="10" s="1"/>
  <c r="W74" i="10" s="1"/>
  <c r="Y75" i="10"/>
  <c r="X74" i="10" s="1"/>
  <c r="Z74" i="10"/>
  <c r="Z94" i="10"/>
  <c r="Y93" i="10" s="1"/>
  <c r="Z89" i="10"/>
  <c r="Z78" i="10"/>
  <c r="Y77" i="10" s="1"/>
  <c r="Y94" i="10"/>
  <c r="X93" i="10" s="1"/>
  <c r="Y89" i="10"/>
  <c r="Z84" i="10"/>
  <c r="Z83" i="10"/>
  <c r="Y83" i="10" s="1"/>
  <c r="X82" i="10" s="1"/>
  <c r="Y97" i="10"/>
  <c r="Z96" i="10"/>
  <c r="Y95" i="10" s="1"/>
  <c r="X94" i="10" s="1"/>
  <c r="Z91" i="10"/>
  <c r="Z82" i="10"/>
  <c r="Z80" i="10"/>
  <c r="Y79" i="10" s="1"/>
  <c r="Z92" i="10"/>
  <c r="Y92" i="10" s="1"/>
  <c r="X91" i="10" s="1"/>
  <c r="W90" i="10" s="1"/>
  <c r="V89" i="10" s="1"/>
  <c r="Z75" i="10"/>
  <c r="Z95" i="10"/>
  <c r="Y90" i="10"/>
  <c r="X89" i="10" s="1"/>
  <c r="Z88" i="10"/>
  <c r="Y87" i="10" s="1"/>
  <c r="Y88" i="10"/>
  <c r="X88" i="10" s="1"/>
  <c r="Y82" i="10"/>
  <c r="X81" i="10" s="1"/>
  <c r="Z85" i="10"/>
  <c r="Y84" i="10"/>
  <c r="X83" i="10" s="1"/>
  <c r="W82" i="10" s="1"/>
  <c r="Z81" i="10"/>
  <c r="Y80" i="10" s="1"/>
  <c r="X79" i="10" s="1"/>
  <c r="Z86" i="10"/>
  <c r="Y85" i="10" s="1"/>
  <c r="X84" i="10" s="1"/>
  <c r="Z98" i="10"/>
  <c r="Z79" i="10"/>
  <c r="Y74" i="10"/>
  <c r="Z87" i="10"/>
  <c r="Y81" i="10"/>
  <c r="Z76" i="10"/>
  <c r="Z70" i="10"/>
  <c r="Z64" i="10"/>
  <c r="Y63" i="10" s="1"/>
  <c r="Z60" i="10"/>
  <c r="Y60" i="10" s="1"/>
  <c r="Z66" i="10"/>
  <c r="Y65" i="10" s="1"/>
  <c r="X64" i="10" s="1"/>
  <c r="Y62" i="10"/>
  <c r="Z57" i="10"/>
  <c r="Y64" i="10"/>
  <c r="Z65" i="10"/>
  <c r="Z62" i="10"/>
  <c r="Y61" i="10" s="1"/>
  <c r="X60" i="10" s="1"/>
  <c r="Z58" i="10"/>
  <c r="Z63" i="10"/>
  <c r="Z68" i="10"/>
  <c r="Y67" i="10" s="1"/>
  <c r="Z56" i="10"/>
  <c r="Y56" i="10"/>
  <c r="X55" i="10" s="1"/>
  <c r="Z67" i="10"/>
  <c r="Y66" i="10" s="1"/>
  <c r="X65" i="10" s="1"/>
  <c r="W64" i="10" s="1"/>
  <c r="Z69" i="10"/>
  <c r="Y69" i="10" s="1"/>
  <c r="F132" i="9"/>
  <c r="Q132" i="7"/>
  <c r="Y154" i="7"/>
  <c r="C95" i="9"/>
  <c r="O95" i="7"/>
  <c r="C184" i="9"/>
  <c r="O184" i="7"/>
  <c r="C147" i="9"/>
  <c r="O147" i="7"/>
  <c r="Y63" i="7"/>
  <c r="C87" i="9"/>
  <c r="O87" i="7"/>
  <c r="F161" i="9"/>
  <c r="Q161" i="7"/>
  <c r="F121" i="9"/>
  <c r="Q121" i="7"/>
  <c r="F16" i="9"/>
  <c r="Q16" i="7"/>
  <c r="Z59" i="10"/>
  <c r="Y59" i="10" s="1"/>
  <c r="C70" i="9"/>
  <c r="O70" i="7"/>
  <c r="C86" i="9"/>
  <c r="O86" i="7"/>
  <c r="X157" i="7"/>
  <c r="H128" i="9"/>
  <c r="T128" i="7"/>
  <c r="X128" i="7" s="1"/>
  <c r="R128" i="7"/>
  <c r="V128" i="7" s="1"/>
  <c r="U128" i="7"/>
  <c r="S128" i="7"/>
  <c r="W128" i="7" s="1"/>
  <c r="Y128" i="7"/>
  <c r="G17" i="8"/>
  <c r="H138" i="9"/>
  <c r="R138" i="7"/>
  <c r="V138" i="7" s="1"/>
  <c r="U138" i="7"/>
  <c r="Y138" i="7" s="1"/>
  <c r="S138" i="7"/>
  <c r="W138" i="7" s="1"/>
  <c r="T138" i="7"/>
  <c r="X138" i="7" s="1"/>
  <c r="F117" i="9"/>
  <c r="Q117" i="7"/>
  <c r="F18" i="9"/>
  <c r="Q18" i="7"/>
  <c r="F127" i="9"/>
  <c r="Q127" i="7"/>
  <c r="C169" i="9"/>
  <c r="O169" i="7"/>
  <c r="C176" i="9"/>
  <c r="O176" i="7"/>
  <c r="H151" i="9"/>
  <c r="T151" i="7"/>
  <c r="U151" i="7"/>
  <c r="Y151" i="7" s="1"/>
  <c r="R151" i="7"/>
  <c r="V151" i="7" s="1"/>
  <c r="S151" i="7"/>
  <c r="W151" i="7" s="1"/>
  <c r="C17" i="8"/>
  <c r="F145" i="9"/>
  <c r="Q145" i="7"/>
  <c r="C143" i="9"/>
  <c r="O143" i="7"/>
  <c r="F32" i="9"/>
  <c r="Q32" i="7"/>
  <c r="C60" i="9"/>
  <c r="O60" i="7"/>
  <c r="F101" i="9"/>
  <c r="Q101" i="7"/>
  <c r="F183" i="9"/>
  <c r="Q183" i="7"/>
  <c r="F15" i="9"/>
  <c r="Q15" i="7"/>
  <c r="F112" i="9"/>
  <c r="Q112" i="7"/>
  <c r="C141" i="9"/>
  <c r="O141" i="7"/>
  <c r="F17" i="9"/>
  <c r="Q17" i="7"/>
  <c r="F5" i="9"/>
  <c r="Q5" i="7"/>
  <c r="F177" i="9"/>
  <c r="Q177" i="7"/>
  <c r="C150" i="9"/>
  <c r="O150" i="7"/>
  <c r="B16" i="11"/>
  <c r="B29" i="6"/>
  <c r="C33" i="6"/>
  <c r="D33" i="6" s="1"/>
  <c r="C39" i="6"/>
  <c r="D39" i="6" s="1"/>
  <c r="C36" i="6"/>
  <c r="D36" i="6" s="1"/>
  <c r="C35" i="6"/>
  <c r="D35" i="6" s="1"/>
  <c r="C34" i="6"/>
  <c r="D34" i="6" s="1"/>
  <c r="C42" i="6"/>
  <c r="D42" i="6" s="1"/>
  <c r="C40" i="6"/>
  <c r="D40" i="6" s="1"/>
  <c r="C41" i="6"/>
  <c r="D41" i="6" s="1"/>
  <c r="C37" i="6"/>
  <c r="D37" i="6" s="1"/>
  <c r="C38" i="6"/>
  <c r="D38" i="6" s="1"/>
  <c r="F105" i="9"/>
  <c r="Q105" i="7"/>
  <c r="D17" i="8"/>
  <c r="F29" i="9"/>
  <c r="Q29" i="7"/>
  <c r="H154" i="9"/>
  <c r="R154" i="7"/>
  <c r="V154" i="7" s="1"/>
  <c r="U154" i="7"/>
  <c r="S154" i="7"/>
  <c r="W154" i="7" s="1"/>
  <c r="T154" i="7"/>
  <c r="X154" i="7" s="1"/>
  <c r="H157" i="9"/>
  <c r="R157" i="7"/>
  <c r="V157" i="7" s="1"/>
  <c r="U157" i="7"/>
  <c r="T157" i="7"/>
  <c r="S157" i="7"/>
  <c r="W157" i="7" s="1"/>
  <c r="H17" i="8"/>
  <c r="C131" i="9"/>
  <c r="O131" i="7"/>
  <c r="F91" i="9"/>
  <c r="Q91" i="7"/>
  <c r="C84" i="9"/>
  <c r="O84" i="7"/>
  <c r="F59" i="9"/>
  <c r="Q59" i="7"/>
  <c r="C74" i="9"/>
  <c r="O74" i="7"/>
  <c r="F144" i="9"/>
  <c r="Q144" i="7"/>
  <c r="H181" i="9"/>
  <c r="R181" i="7"/>
  <c r="V181" i="7" s="1"/>
  <c r="T181" i="7"/>
  <c r="X181" i="7" s="1"/>
  <c r="S181" i="7"/>
  <c r="W181" i="7" s="1"/>
  <c r="U181" i="7"/>
  <c r="Y181" i="7"/>
  <c r="F156" i="9"/>
  <c r="Q156" i="7"/>
  <c r="F41" i="9"/>
  <c r="Q41" i="7"/>
  <c r="I17" i="8"/>
  <c r="F11" i="9"/>
  <c r="Q11" i="7"/>
  <c r="F182" i="9"/>
  <c r="Q182" i="7"/>
  <c r="F42" i="9"/>
  <c r="Q42" i="7"/>
  <c r="F115" i="9"/>
  <c r="Q115" i="7"/>
  <c r="F99" i="9"/>
  <c r="Q99" i="7"/>
  <c r="F104" i="9"/>
  <c r="Q104" i="7"/>
  <c r="C185" i="9"/>
  <c r="O185" i="7"/>
  <c r="F40" i="9"/>
  <c r="Q40" i="7"/>
  <c r="C52" i="9"/>
  <c r="O52" i="7"/>
  <c r="F65" i="9"/>
  <c r="Q65" i="7"/>
  <c r="C158" i="9"/>
  <c r="O158" i="7"/>
  <c r="C149" i="9"/>
  <c r="O149" i="7"/>
  <c r="F135" i="9"/>
  <c r="Q135" i="7"/>
  <c r="F125" i="9"/>
  <c r="Q125" i="7"/>
  <c r="F23" i="9"/>
  <c r="Q23" i="7"/>
  <c r="F109" i="9"/>
  <c r="Q109" i="7"/>
  <c r="F55" i="9"/>
  <c r="Q55" i="7"/>
  <c r="C90" i="9"/>
  <c r="O90" i="7"/>
  <c r="F25" i="9"/>
  <c r="Q25" i="7"/>
  <c r="C77" i="9"/>
  <c r="O77" i="7"/>
  <c r="F30" i="9"/>
  <c r="Q30" i="7"/>
  <c r="F134" i="9"/>
  <c r="Q134" i="7"/>
  <c r="F17" i="8"/>
  <c r="F122" i="9"/>
  <c r="Q122" i="7"/>
  <c r="H140" i="9"/>
  <c r="S140" i="7"/>
  <c r="W140" i="7" s="1"/>
  <c r="U140" i="7"/>
  <c r="R140" i="7"/>
  <c r="V140" i="7" s="1"/>
  <c r="T140" i="7"/>
  <c r="X140" i="7"/>
  <c r="Y140" i="7"/>
  <c r="F37" i="9"/>
  <c r="Q37" i="7"/>
  <c r="C168" i="9"/>
  <c r="O168" i="7"/>
  <c r="C174" i="9"/>
  <c r="O174" i="7"/>
  <c r="O89" i="7"/>
  <c r="C89" i="9"/>
  <c r="F64" i="9"/>
  <c r="Q64" i="7"/>
  <c r="F136" i="9"/>
  <c r="Q136" i="7"/>
  <c r="C75" i="9"/>
  <c r="O75" i="7"/>
  <c r="F108" i="9"/>
  <c r="Q108" i="7"/>
  <c r="Y157" i="7"/>
  <c r="F33" i="9"/>
  <c r="Q33" i="7"/>
  <c r="F160" i="9"/>
  <c r="Q160" i="7"/>
  <c r="F8" i="9"/>
  <c r="Q8" i="7"/>
  <c r="H159" i="9"/>
  <c r="U159" i="7"/>
  <c r="Y159" i="7" s="1"/>
  <c r="S159" i="7"/>
  <c r="W159" i="7" s="1"/>
  <c r="T159" i="7"/>
  <c r="X159" i="7" s="1"/>
  <c r="R159" i="7"/>
  <c r="V159" i="7" s="1"/>
  <c r="C152" i="9"/>
  <c r="O152" i="7"/>
  <c r="F43" i="9"/>
  <c r="Q43" i="7"/>
  <c r="F153" i="9"/>
  <c r="Q153" i="7"/>
  <c r="F54" i="9"/>
  <c r="Q54" i="7"/>
  <c r="F114" i="9"/>
  <c r="Q114" i="7"/>
  <c r="O137" i="7"/>
  <c r="C137" i="9"/>
  <c r="F142" i="9"/>
  <c r="Q142" i="7"/>
  <c r="X151" i="7"/>
  <c r="H165" i="9"/>
  <c r="T165" i="7"/>
  <c r="X165" i="7" s="1"/>
  <c r="U165" i="7"/>
  <c r="Y165" i="7" s="1"/>
  <c r="S165" i="7"/>
  <c r="W165" i="7" s="1"/>
  <c r="R165" i="7"/>
  <c r="V165" i="7" s="1"/>
  <c r="F130" i="9"/>
  <c r="Q130" i="7"/>
  <c r="F58" i="9"/>
  <c r="Q58" i="7"/>
  <c r="B17" i="8"/>
  <c r="F167" i="9"/>
  <c r="Q167" i="7"/>
  <c r="O50" i="7"/>
  <c r="C50" i="9"/>
  <c r="C170" i="9"/>
  <c r="O170" i="7"/>
  <c r="F53" i="9"/>
  <c r="Q53" i="7"/>
  <c r="C79" i="9"/>
  <c r="O79" i="7"/>
  <c r="F73" i="9"/>
  <c r="Q73" i="7"/>
  <c r="C56" i="9"/>
  <c r="O56" i="7"/>
  <c r="C179" i="9"/>
  <c r="O179" i="7"/>
  <c r="H155" i="9"/>
  <c r="U155" i="7"/>
  <c r="Y155" i="7" s="1"/>
  <c r="S155" i="7"/>
  <c r="W155" i="7" s="1"/>
  <c r="T155" i="7"/>
  <c r="X155" i="7" s="1"/>
  <c r="R155" i="7"/>
  <c r="V155" i="7" s="1"/>
  <c r="F9" i="9"/>
  <c r="Q9" i="7"/>
  <c r="C171" i="9"/>
  <c r="O171" i="7"/>
  <c r="C66" i="9"/>
  <c r="O66" i="7"/>
  <c r="F44" i="9"/>
  <c r="Q44" i="7"/>
  <c r="F180" i="9"/>
  <c r="Q180" i="7"/>
  <c r="H175" i="9"/>
  <c r="U175" i="7"/>
  <c r="Y175" i="7" s="1"/>
  <c r="R175" i="7"/>
  <c r="V175" i="7" s="1"/>
  <c r="S175" i="7"/>
  <c r="W175" i="7" s="1"/>
  <c r="T175" i="7"/>
  <c r="C78" i="9"/>
  <c r="O78" i="7"/>
  <c r="F6" i="9"/>
  <c r="Q6" i="7"/>
  <c r="F10" i="9"/>
  <c r="Q10" i="7"/>
  <c r="F46" i="9"/>
  <c r="Q46" i="7"/>
  <c r="F162" i="9"/>
  <c r="Q162" i="7"/>
  <c r="F69" i="9"/>
  <c r="Q69" i="7"/>
  <c r="F107" i="9"/>
  <c r="Q107" i="7"/>
  <c r="F148" i="9"/>
  <c r="Q148" i="7"/>
  <c r="F22" i="9"/>
  <c r="Q22" i="7"/>
  <c r="F116" i="9"/>
  <c r="Q116" i="7"/>
  <c r="F20" i="9"/>
  <c r="Q20" i="7"/>
  <c r="F49" i="9"/>
  <c r="Q49" i="7"/>
  <c r="F35" i="9"/>
  <c r="Q35" i="7"/>
  <c r="F14" i="9"/>
  <c r="Q14" i="7"/>
  <c r="F146" i="9"/>
  <c r="Q146" i="7"/>
  <c r="F13" i="9"/>
  <c r="Q13" i="7"/>
  <c r="F103" i="9"/>
  <c r="Q103" i="7"/>
  <c r="F113" i="9"/>
  <c r="Q113" i="7"/>
  <c r="F178" i="9"/>
  <c r="Q178" i="7"/>
  <c r="F129" i="9"/>
  <c r="Q129" i="7"/>
  <c r="F83" i="9"/>
  <c r="Q83" i="7"/>
  <c r="F126" i="9"/>
  <c r="Q126" i="7"/>
  <c r="F36" i="9"/>
  <c r="Q36" i="7"/>
  <c r="F120" i="9"/>
  <c r="Q120" i="7"/>
  <c r="O93" i="7"/>
  <c r="C93" i="9"/>
  <c r="C88" i="9"/>
  <c r="O88" i="7"/>
  <c r="F106" i="9"/>
  <c r="Q106" i="7"/>
  <c r="F28" i="9"/>
  <c r="Q28" i="7"/>
  <c r="F45" i="9"/>
  <c r="Q45" i="7"/>
  <c r="F124" i="9"/>
  <c r="Q124" i="7"/>
  <c r="F72" i="9"/>
  <c r="Q72" i="7"/>
  <c r="F48" i="9"/>
  <c r="Q48" i="7"/>
  <c r="F111" i="9"/>
  <c r="Q111" i="7"/>
  <c r="F27" i="9"/>
  <c r="Q27" i="7"/>
  <c r="F166" i="9"/>
  <c r="Q166" i="7"/>
  <c r="F123" i="9"/>
  <c r="Q123" i="7"/>
  <c r="F102" i="9"/>
  <c r="Q102" i="7"/>
  <c r="F94" i="9"/>
  <c r="Q94" i="7"/>
  <c r="C172" i="9"/>
  <c r="O172" i="7"/>
  <c r="X175" i="7"/>
  <c r="F47" i="9"/>
  <c r="Q47" i="7"/>
  <c r="C81" i="9"/>
  <c r="O81" i="7"/>
  <c r="F34" i="9"/>
  <c r="Q34" i="7"/>
  <c r="F21" i="9"/>
  <c r="Q21" i="7"/>
  <c r="F39" i="9"/>
  <c r="Q39" i="7"/>
  <c r="F24" i="9"/>
  <c r="Q24" i="7"/>
  <c r="F67" i="9"/>
  <c r="Q67" i="7"/>
  <c r="F100" i="9"/>
  <c r="Q100" i="7"/>
  <c r="C76" i="9"/>
  <c r="O76" i="7"/>
  <c r="F118" i="9"/>
  <c r="Q118" i="7"/>
  <c r="F61" i="9"/>
  <c r="Q61" i="7"/>
  <c r="F110" i="9"/>
  <c r="Q110" i="7"/>
  <c r="F38" i="9"/>
  <c r="Q38" i="7"/>
  <c r="F51" i="9"/>
  <c r="Q51" i="7"/>
  <c r="F19" i="9"/>
  <c r="Q19" i="7"/>
  <c r="X63" i="10" l="1"/>
  <c r="X62" i="10"/>
  <c r="W83" i="10"/>
  <c r="V82" i="10" s="1"/>
  <c r="W81" i="10"/>
  <c r="W59" i="10"/>
  <c r="V63" i="10"/>
  <c r="X80" i="10"/>
  <c r="W79" i="10" s="1"/>
  <c r="X76" i="10"/>
  <c r="W75" i="10" s="1"/>
  <c r="V74" i="10" s="1"/>
  <c r="X61" i="10"/>
  <c r="W60" i="10" s="1"/>
  <c r="X66" i="10"/>
  <c r="W65" i="10" s="1"/>
  <c r="V64" i="10" s="1"/>
  <c r="W63" i="10"/>
  <c r="X87" i="10"/>
  <c r="W93" i="10"/>
  <c r="X92" i="10"/>
  <c r="W91" i="10" s="1"/>
  <c r="V90" i="10" s="1"/>
  <c r="U89" i="10" s="1"/>
  <c r="X59" i="10"/>
  <c r="W88" i="10"/>
  <c r="V88" i="10" s="1"/>
  <c r="H118" i="9"/>
  <c r="S118" i="7"/>
  <c r="W118" i="7" s="1"/>
  <c r="U118" i="7"/>
  <c r="T118" i="7"/>
  <c r="R118" i="7"/>
  <c r="V118" i="7" s="1"/>
  <c r="H61" i="9"/>
  <c r="R61" i="7"/>
  <c r="V61" i="7" s="1"/>
  <c r="U61" i="7"/>
  <c r="Y61" i="7" s="1"/>
  <c r="T61" i="7"/>
  <c r="X61" i="7" s="1"/>
  <c r="S61" i="7"/>
  <c r="W61" i="7" s="1"/>
  <c r="H178" i="9"/>
  <c r="R178" i="7"/>
  <c r="V178" i="7" s="1"/>
  <c r="S178" i="7"/>
  <c r="W178" i="7" s="1"/>
  <c r="U178" i="7"/>
  <c r="T178" i="7"/>
  <c r="X178" i="7" s="1"/>
  <c r="H113" i="9"/>
  <c r="T113" i="7"/>
  <c r="X113" i="7" s="1"/>
  <c r="S113" i="7"/>
  <c r="W113" i="7" s="1"/>
  <c r="R113" i="7"/>
  <c r="V113" i="7" s="1"/>
  <c r="U113" i="7"/>
  <c r="H103" i="9"/>
  <c r="S103" i="7"/>
  <c r="W103" i="7" s="1"/>
  <c r="R103" i="7"/>
  <c r="V103" i="7" s="1"/>
  <c r="U103" i="7"/>
  <c r="T103" i="7"/>
  <c r="X103" i="7" s="1"/>
  <c r="H13" i="9"/>
  <c r="U13" i="7"/>
  <c r="Y13" i="7" s="1"/>
  <c r="T13" i="7"/>
  <c r="X13" i="7" s="1"/>
  <c r="R13" i="7"/>
  <c r="V13" i="7" s="1"/>
  <c r="S13" i="7"/>
  <c r="W13" i="7" s="1"/>
  <c r="H20" i="9"/>
  <c r="R20" i="7"/>
  <c r="V20" i="7" s="1"/>
  <c r="S20" i="7"/>
  <c r="W20" i="7" s="1"/>
  <c r="U20" i="7"/>
  <c r="T20" i="7"/>
  <c r="H69" i="9"/>
  <c r="U69" i="7"/>
  <c r="Y69" i="7" s="1"/>
  <c r="T69" i="7"/>
  <c r="S69" i="7"/>
  <c r="W69" i="7" s="1"/>
  <c r="R69" i="7"/>
  <c r="V69" i="7" s="1"/>
  <c r="H100" i="9"/>
  <c r="U100" i="7"/>
  <c r="Y100" i="7" s="1"/>
  <c r="R100" i="7"/>
  <c r="V100" i="7" s="1"/>
  <c r="S100" i="7"/>
  <c r="W100" i="7" s="1"/>
  <c r="T100" i="7"/>
  <c r="X100" i="7" s="1"/>
  <c r="M175" i="9"/>
  <c r="Q175" i="9" s="1"/>
  <c r="AA175" i="9"/>
  <c r="N175" i="9"/>
  <c r="R175" i="9" s="1"/>
  <c r="L175" i="9"/>
  <c r="P175" i="9" s="1"/>
  <c r="U175" i="9"/>
  <c r="Y175" i="9" s="1"/>
  <c r="K175" i="9"/>
  <c r="O175" i="9" s="1"/>
  <c r="V175" i="9"/>
  <c r="Z175" i="9" s="1"/>
  <c r="X175" i="9"/>
  <c r="AB175" i="9" s="1"/>
  <c r="W175" i="9"/>
  <c r="H38" i="9"/>
  <c r="R38" i="7"/>
  <c r="V38" i="7" s="1"/>
  <c r="S38" i="7"/>
  <c r="W38" i="7" s="1"/>
  <c r="T38" i="7"/>
  <c r="X38" i="7" s="1"/>
  <c r="U38" i="7"/>
  <c r="Y38" i="7" s="1"/>
  <c r="H110" i="9"/>
  <c r="T110" i="7"/>
  <c r="X110" i="7" s="1"/>
  <c r="S110" i="7"/>
  <c r="W110" i="7" s="1"/>
  <c r="R110" i="7"/>
  <c r="V110" i="7" s="1"/>
  <c r="U110" i="7"/>
  <c r="Y110" i="7" s="1"/>
  <c r="Y118" i="7"/>
  <c r="H146" i="9"/>
  <c r="T146" i="7"/>
  <c r="X146" i="7" s="1"/>
  <c r="R146" i="7"/>
  <c r="V146" i="7" s="1"/>
  <c r="S146" i="7"/>
  <c r="W146" i="7" s="1"/>
  <c r="U146" i="7"/>
  <c r="Y146" i="7" s="1"/>
  <c r="H49" i="9"/>
  <c r="U49" i="7"/>
  <c r="Y49" i="7" s="1"/>
  <c r="S49" i="7"/>
  <c r="W49" i="7" s="1"/>
  <c r="R49" i="7"/>
  <c r="V49" i="7" s="1"/>
  <c r="T49" i="7"/>
  <c r="X49" i="7" s="1"/>
  <c r="H107" i="9"/>
  <c r="U107" i="7"/>
  <c r="Y107" i="7" s="1"/>
  <c r="S107" i="7"/>
  <c r="W107" i="7" s="1"/>
  <c r="R107" i="7"/>
  <c r="V107" i="7" s="1"/>
  <c r="T107" i="7"/>
  <c r="X107" i="7" s="1"/>
  <c r="H46" i="9"/>
  <c r="T46" i="7"/>
  <c r="X46" i="7" s="1"/>
  <c r="S46" i="7"/>
  <c r="W46" i="7" s="1"/>
  <c r="R46" i="7"/>
  <c r="V46" i="7" s="1"/>
  <c r="U46" i="7"/>
  <c r="Y46" i="7" s="1"/>
  <c r="H10" i="9"/>
  <c r="S10" i="7"/>
  <c r="W10" i="7" s="1"/>
  <c r="R10" i="7"/>
  <c r="V10" i="7" s="1"/>
  <c r="U10" i="7"/>
  <c r="Y10" i="7" s="1"/>
  <c r="T10" i="7"/>
  <c r="X10" i="7" s="1"/>
  <c r="Q155" i="9"/>
  <c r="X155" i="9"/>
  <c r="AB155" i="9" s="1"/>
  <c r="W155" i="9"/>
  <c r="AA155" i="9" s="1"/>
  <c r="V155" i="9"/>
  <c r="Z155" i="9" s="1"/>
  <c r="N155" i="9"/>
  <c r="R155" i="9" s="1"/>
  <c r="K155" i="9"/>
  <c r="O155" i="9" s="1"/>
  <c r="U155" i="9"/>
  <c r="Y155" i="9" s="1"/>
  <c r="L155" i="9"/>
  <c r="P155" i="9" s="1"/>
  <c r="M155" i="9"/>
  <c r="F52" i="9"/>
  <c r="Q52" i="7"/>
  <c r="H99" i="9"/>
  <c r="R99" i="7"/>
  <c r="V99" i="7" s="1"/>
  <c r="T99" i="7"/>
  <c r="X99" i="7" s="1"/>
  <c r="S99" i="7"/>
  <c r="W99" i="7" s="1"/>
  <c r="U99" i="7"/>
  <c r="Y99" i="7" s="1"/>
  <c r="H115" i="9"/>
  <c r="U115" i="7"/>
  <c r="Y115" i="7" s="1"/>
  <c r="T115" i="7"/>
  <c r="S115" i="7"/>
  <c r="W115" i="7" s="1"/>
  <c r="R115" i="7"/>
  <c r="V115" i="7" s="1"/>
  <c r="F84" i="9"/>
  <c r="Q84" i="7"/>
  <c r="H17" i="9"/>
  <c r="U17" i="7"/>
  <c r="R17" i="7"/>
  <c r="V17" i="7" s="1"/>
  <c r="S17" i="7"/>
  <c r="W17" i="7" s="1"/>
  <c r="T17" i="7"/>
  <c r="X17" i="7" s="1"/>
  <c r="H183" i="9"/>
  <c r="U183" i="7"/>
  <c r="T183" i="7"/>
  <c r="X183" i="7" s="1"/>
  <c r="S183" i="7"/>
  <c r="W183" i="7" s="1"/>
  <c r="R183" i="7"/>
  <c r="V183" i="7" s="1"/>
  <c r="F143" i="9"/>
  <c r="Q143" i="7"/>
  <c r="Z138" i="7"/>
  <c r="AA138" i="7"/>
  <c r="AB138" i="7" s="1"/>
  <c r="G19" i="8"/>
  <c r="G23" i="8" s="1"/>
  <c r="G18" i="8"/>
  <c r="G22" i="8" s="1"/>
  <c r="G21" i="8"/>
  <c r="G20" i="8"/>
  <c r="G24" i="8" s="1"/>
  <c r="F87" i="9"/>
  <c r="Q87" i="7"/>
  <c r="H132" i="9"/>
  <c r="T132" i="7"/>
  <c r="R132" i="7"/>
  <c r="V132" i="7" s="1"/>
  <c r="U132" i="7"/>
  <c r="Y132" i="7" s="1"/>
  <c r="S132" i="7"/>
  <c r="W132" i="7" s="1"/>
  <c r="Y78" i="10"/>
  <c r="X77" i="10" s="1"/>
  <c r="W76" i="10" s="1"/>
  <c r="V75" i="10" s="1"/>
  <c r="U74" i="10" s="1"/>
  <c r="Z164" i="7"/>
  <c r="AA164" i="7"/>
  <c r="F92" i="9"/>
  <c r="Q92" i="7"/>
  <c r="F98" i="9"/>
  <c r="Q98" i="7"/>
  <c r="H114" i="9"/>
  <c r="U114" i="7"/>
  <c r="Y114" i="7" s="1"/>
  <c r="T114" i="7"/>
  <c r="X114" i="7" s="1"/>
  <c r="R114" i="7"/>
  <c r="V114" i="7" s="1"/>
  <c r="S114" i="7"/>
  <c r="W114" i="7" s="1"/>
  <c r="F76" i="9"/>
  <c r="Q76" i="7"/>
  <c r="H94" i="9"/>
  <c r="U94" i="7"/>
  <c r="Y94" i="7" s="1"/>
  <c r="R94" i="7"/>
  <c r="V94" i="7" s="1"/>
  <c r="T94" i="7"/>
  <c r="X94" i="7" s="1"/>
  <c r="S94" i="7"/>
  <c r="W94" i="7" s="1"/>
  <c r="H102" i="9"/>
  <c r="U102" i="7"/>
  <c r="Y102" i="7" s="1"/>
  <c r="R102" i="7"/>
  <c r="V102" i="7" s="1"/>
  <c r="S102" i="7"/>
  <c r="W102" i="7" s="1"/>
  <c r="T102" i="7"/>
  <c r="X102" i="7" s="1"/>
  <c r="H123" i="9"/>
  <c r="R123" i="7"/>
  <c r="V123" i="7" s="1"/>
  <c r="U123" i="7"/>
  <c r="Y123" i="7" s="1"/>
  <c r="T123" i="7"/>
  <c r="X123" i="7" s="1"/>
  <c r="S123" i="7"/>
  <c r="W123" i="7" s="1"/>
  <c r="H27" i="9"/>
  <c r="U27" i="7"/>
  <c r="Y27" i="7" s="1"/>
  <c r="R27" i="7"/>
  <c r="V27" i="7" s="1"/>
  <c r="T27" i="7"/>
  <c r="X27" i="7" s="1"/>
  <c r="S27" i="7"/>
  <c r="W27" i="7" s="1"/>
  <c r="H136" i="9"/>
  <c r="T136" i="7"/>
  <c r="X136" i="7" s="1"/>
  <c r="U136" i="7"/>
  <c r="R136" i="7"/>
  <c r="V136" i="7" s="1"/>
  <c r="S136" i="7"/>
  <c r="W136" i="7" s="1"/>
  <c r="H64" i="9"/>
  <c r="U64" i="7"/>
  <c r="Y64" i="7" s="1"/>
  <c r="S64" i="7"/>
  <c r="W64" i="7" s="1"/>
  <c r="R64" i="7"/>
  <c r="V64" i="7" s="1"/>
  <c r="T64" i="7"/>
  <c r="X64" i="7" s="1"/>
  <c r="F89" i="9"/>
  <c r="Q89" i="7"/>
  <c r="H144" i="9"/>
  <c r="U144" i="7"/>
  <c r="T144" i="7"/>
  <c r="R144" i="7"/>
  <c r="V144" i="7" s="1"/>
  <c r="S144" i="7"/>
  <c r="W144" i="7" s="1"/>
  <c r="Z157" i="7"/>
  <c r="AA157" i="7"/>
  <c r="D21" i="8"/>
  <c r="D19" i="8"/>
  <c r="D23" i="8" s="1"/>
  <c r="D18" i="8"/>
  <c r="D22" i="8" s="1"/>
  <c r="D20" i="8"/>
  <c r="H105" i="9"/>
  <c r="U105" i="7"/>
  <c r="R105" i="7"/>
  <c r="V105" i="7" s="1"/>
  <c r="T105" i="7"/>
  <c r="X105" i="7" s="1"/>
  <c r="S105" i="7"/>
  <c r="W105" i="7" s="1"/>
  <c r="F150" i="9"/>
  <c r="Q150" i="7"/>
  <c r="H177" i="9"/>
  <c r="S177" i="7"/>
  <c r="W177" i="7" s="1"/>
  <c r="U177" i="7"/>
  <c r="R177" i="7"/>
  <c r="V177" i="7" s="1"/>
  <c r="T177" i="7"/>
  <c r="X177" i="7" s="1"/>
  <c r="H5" i="9"/>
  <c r="U5" i="7"/>
  <c r="Y5" i="7" s="1"/>
  <c r="T5" i="7"/>
  <c r="S5" i="7"/>
  <c r="W5" i="7" s="1"/>
  <c r="R5" i="7"/>
  <c r="V5" i="7" s="1"/>
  <c r="M138" i="9"/>
  <c r="W138" i="9"/>
  <c r="L138" i="9"/>
  <c r="P138" i="9" s="1"/>
  <c r="U138" i="9"/>
  <c r="Y138" i="9" s="1"/>
  <c r="K138" i="9"/>
  <c r="O138" i="9" s="1"/>
  <c r="V138" i="9"/>
  <c r="Z138" i="9" s="1"/>
  <c r="X138" i="9"/>
  <c r="AB138" i="9" s="1"/>
  <c r="N138" i="9"/>
  <c r="R138" i="9" s="1"/>
  <c r="F184" i="9"/>
  <c r="Q184" i="7"/>
  <c r="F82" i="9"/>
  <c r="Q82" i="7"/>
  <c r="F62" i="9"/>
  <c r="Q62" i="7"/>
  <c r="F68" i="9"/>
  <c r="Q68" i="7"/>
  <c r="H71" i="9"/>
  <c r="R71" i="7"/>
  <c r="V71" i="7" s="1"/>
  <c r="S71" i="7"/>
  <c r="W71" i="7" s="1"/>
  <c r="U71" i="7"/>
  <c r="Y71" i="7" s="1"/>
  <c r="T71" i="7"/>
  <c r="Z63" i="7"/>
  <c r="AA63" i="7"/>
  <c r="Z173" i="7"/>
  <c r="AA173" i="7"/>
  <c r="H19" i="9"/>
  <c r="S19" i="7"/>
  <c r="W19" i="7" s="1"/>
  <c r="R19" i="7"/>
  <c r="V19" i="7" s="1"/>
  <c r="U19" i="7"/>
  <c r="T19" i="7"/>
  <c r="F171" i="9"/>
  <c r="Q171" i="7"/>
  <c r="Z155" i="7"/>
  <c r="AA155" i="7"/>
  <c r="AB155" i="7" s="1"/>
  <c r="F79" i="9"/>
  <c r="Q79" i="7"/>
  <c r="H39" i="9"/>
  <c r="U39" i="7"/>
  <c r="Y39" i="7" s="1"/>
  <c r="R39" i="7"/>
  <c r="V39" i="7" s="1"/>
  <c r="T39" i="7"/>
  <c r="S39" i="7"/>
  <c r="W39" i="7" s="1"/>
  <c r="H34" i="9"/>
  <c r="U34" i="7"/>
  <c r="T34" i="7"/>
  <c r="X34" i="7" s="1"/>
  <c r="R34" i="7"/>
  <c r="V34" i="7" s="1"/>
  <c r="S34" i="7"/>
  <c r="W34" i="7" s="1"/>
  <c r="H48" i="9"/>
  <c r="T48" i="7"/>
  <c r="R48" i="7"/>
  <c r="V48" i="7" s="1"/>
  <c r="S48" i="7"/>
  <c r="W48" i="7" s="1"/>
  <c r="U48" i="7"/>
  <c r="Y48" i="7" s="1"/>
  <c r="H47" i="9"/>
  <c r="S47" i="7"/>
  <c r="W47" i="7" s="1"/>
  <c r="U47" i="7"/>
  <c r="R47" i="7"/>
  <c r="V47" i="7" s="1"/>
  <c r="T47" i="7"/>
  <c r="X47" i="7" s="1"/>
  <c r="H111" i="9"/>
  <c r="R111" i="7"/>
  <c r="V111" i="7" s="1"/>
  <c r="U111" i="7"/>
  <c r="Y111" i="7" s="1"/>
  <c r="T111" i="7"/>
  <c r="S111" i="7"/>
  <c r="W111" i="7" s="1"/>
  <c r="F93" i="9"/>
  <c r="Q93" i="7"/>
  <c r="X19" i="7"/>
  <c r="H166" i="9"/>
  <c r="R166" i="7"/>
  <c r="V166" i="7" s="1"/>
  <c r="T166" i="7"/>
  <c r="X166" i="7" s="1"/>
  <c r="S166" i="7"/>
  <c r="W166" i="7" s="1"/>
  <c r="U166" i="7"/>
  <c r="Y166" i="7" s="1"/>
  <c r="F78" i="9"/>
  <c r="Q78" i="7"/>
  <c r="F66" i="9"/>
  <c r="Q66" i="7"/>
  <c r="H73" i="9"/>
  <c r="T73" i="7"/>
  <c r="X73" i="7" s="1"/>
  <c r="R73" i="7"/>
  <c r="V73" i="7" s="1"/>
  <c r="S73" i="7"/>
  <c r="W73" i="7" s="1"/>
  <c r="U73" i="7"/>
  <c r="Y73" i="7" s="1"/>
  <c r="B19" i="8"/>
  <c r="B23" i="8" s="1"/>
  <c r="B20" i="8"/>
  <c r="B24" i="8" s="1"/>
  <c r="B21" i="8"/>
  <c r="B25" i="8" s="1"/>
  <c r="B18" i="8"/>
  <c r="B22" i="8" s="1"/>
  <c r="Z165" i="7"/>
  <c r="AA165" i="7"/>
  <c r="H43" i="9"/>
  <c r="T43" i="7"/>
  <c r="X43" i="7" s="1"/>
  <c r="S43" i="7"/>
  <c r="W43" i="7" s="1"/>
  <c r="U43" i="7"/>
  <c r="Y43" i="7" s="1"/>
  <c r="R43" i="7"/>
  <c r="V43" i="7" s="1"/>
  <c r="H8" i="9"/>
  <c r="U8" i="7"/>
  <c r="Y8" i="7" s="1"/>
  <c r="R8" i="7"/>
  <c r="V8" i="7" s="1"/>
  <c r="T8" i="7"/>
  <c r="S8" i="7"/>
  <c r="W8" i="7" s="1"/>
  <c r="H108" i="9"/>
  <c r="S108" i="7"/>
  <c r="W108" i="7" s="1"/>
  <c r="U108" i="7"/>
  <c r="R108" i="7"/>
  <c r="V108" i="7" s="1"/>
  <c r="T108" i="7"/>
  <c r="X108" i="7" s="1"/>
  <c r="Z140" i="7"/>
  <c r="AA140" i="7"/>
  <c r="H23" i="9"/>
  <c r="S23" i="7"/>
  <c r="W23" i="7" s="1"/>
  <c r="T23" i="7"/>
  <c r="R23" i="7"/>
  <c r="V23" i="7" s="1"/>
  <c r="U23" i="7"/>
  <c r="Y19" i="7"/>
  <c r="H51" i="9"/>
  <c r="R51" i="7"/>
  <c r="V51" i="7" s="1"/>
  <c r="T51" i="7"/>
  <c r="X51" i="7" s="1"/>
  <c r="U51" i="7"/>
  <c r="Y51" i="7" s="1"/>
  <c r="S51" i="7"/>
  <c r="W51" i="7" s="1"/>
  <c r="Y34" i="7"/>
  <c r="Y72" i="7"/>
  <c r="Y178" i="7"/>
  <c r="Y103" i="7"/>
  <c r="H14" i="9"/>
  <c r="R14" i="7"/>
  <c r="V14" i="7" s="1"/>
  <c r="U14" i="7"/>
  <c r="Y14" i="7" s="1"/>
  <c r="T14" i="7"/>
  <c r="X14" i="7" s="1"/>
  <c r="S14" i="7"/>
  <c r="W14" i="7" s="1"/>
  <c r="H35" i="9"/>
  <c r="S35" i="7"/>
  <c r="W35" i="7" s="1"/>
  <c r="R35" i="7"/>
  <c r="V35" i="7" s="1"/>
  <c r="U35" i="7"/>
  <c r="Y35" i="7" s="1"/>
  <c r="T35" i="7"/>
  <c r="X35" i="7" s="1"/>
  <c r="X20" i="7"/>
  <c r="H116" i="9"/>
  <c r="S116" i="7"/>
  <c r="W116" i="7" s="1"/>
  <c r="R116" i="7"/>
  <c r="V116" i="7" s="1"/>
  <c r="T116" i="7"/>
  <c r="X116" i="7" s="1"/>
  <c r="U116" i="7"/>
  <c r="Y116" i="7" s="1"/>
  <c r="H22" i="9"/>
  <c r="R22" i="7"/>
  <c r="V22" i="7" s="1"/>
  <c r="U22" i="7"/>
  <c r="Y22" i="7" s="1"/>
  <c r="T22" i="7"/>
  <c r="X22" i="7" s="1"/>
  <c r="S22" i="7"/>
  <c r="W22" i="7" s="1"/>
  <c r="H148" i="9"/>
  <c r="S148" i="7"/>
  <c r="W148" i="7" s="1"/>
  <c r="U148" i="7"/>
  <c r="Y148" i="7" s="1"/>
  <c r="T148" i="7"/>
  <c r="X148" i="7" s="1"/>
  <c r="R148" i="7"/>
  <c r="V148" i="7" s="1"/>
  <c r="X69" i="7"/>
  <c r="H44" i="9"/>
  <c r="S44" i="7"/>
  <c r="W44" i="7" s="1"/>
  <c r="T44" i="7"/>
  <c r="X44" i="7" s="1"/>
  <c r="R44" i="7"/>
  <c r="V44" i="7" s="1"/>
  <c r="U44" i="7"/>
  <c r="Y44" i="7" s="1"/>
  <c r="H9" i="9"/>
  <c r="U9" i="7"/>
  <c r="Y9" i="7" s="1"/>
  <c r="R9" i="7"/>
  <c r="V9" i="7" s="1"/>
  <c r="T9" i="7"/>
  <c r="X9" i="7" s="1"/>
  <c r="S9" i="7"/>
  <c r="W9" i="7" s="1"/>
  <c r="F170" i="9"/>
  <c r="Q170" i="7"/>
  <c r="H167" i="9"/>
  <c r="U167" i="7"/>
  <c r="Y167" i="7" s="1"/>
  <c r="R167" i="7"/>
  <c r="V167" i="7" s="1"/>
  <c r="T167" i="7"/>
  <c r="X167" i="7" s="1"/>
  <c r="S167" i="7"/>
  <c r="W167" i="7" s="1"/>
  <c r="X130" i="7"/>
  <c r="F137" i="9"/>
  <c r="Q137" i="7"/>
  <c r="L159" i="9"/>
  <c r="P159" i="9" s="1"/>
  <c r="K159" i="9"/>
  <c r="O159" i="9" s="1"/>
  <c r="N159" i="9"/>
  <c r="R159" i="9" s="1"/>
  <c r="W159" i="9"/>
  <c r="AA159" i="9" s="1"/>
  <c r="U159" i="9"/>
  <c r="Y159" i="9" s="1"/>
  <c r="M159" i="9"/>
  <c r="X159" i="9"/>
  <c r="V159" i="9"/>
  <c r="Z159" i="9" s="1"/>
  <c r="H33" i="9"/>
  <c r="U33" i="7"/>
  <c r="Y33" i="7" s="1"/>
  <c r="S33" i="7"/>
  <c r="W33" i="7" s="1"/>
  <c r="R33" i="7"/>
  <c r="V33" i="7" s="1"/>
  <c r="T33" i="7"/>
  <c r="X33" i="7" s="1"/>
  <c r="F149" i="9"/>
  <c r="Q149" i="7"/>
  <c r="H104" i="9"/>
  <c r="R104" i="7"/>
  <c r="V104" i="7" s="1"/>
  <c r="U104" i="7"/>
  <c r="T104" i="7"/>
  <c r="X104" i="7" s="1"/>
  <c r="S104" i="7"/>
  <c r="W104" i="7" s="1"/>
  <c r="Z181" i="7"/>
  <c r="AA181" i="7"/>
  <c r="H91" i="9"/>
  <c r="S91" i="7"/>
  <c r="W91" i="7" s="1"/>
  <c r="U91" i="7"/>
  <c r="Y91" i="7" s="1"/>
  <c r="T91" i="7"/>
  <c r="X91" i="7" s="1"/>
  <c r="R91" i="7"/>
  <c r="V91" i="7" s="1"/>
  <c r="U157" i="9"/>
  <c r="Y157" i="9" s="1"/>
  <c r="W157" i="9"/>
  <c r="AA157" i="9" s="1"/>
  <c r="V157" i="9"/>
  <c r="Z157" i="9" s="1"/>
  <c r="X157" i="9"/>
  <c r="N157" i="9"/>
  <c r="R157" i="9" s="1"/>
  <c r="L157" i="9"/>
  <c r="P157" i="9" s="1"/>
  <c r="M157" i="9"/>
  <c r="K157" i="9"/>
  <c r="O157" i="9" s="1"/>
  <c r="Q157" i="9"/>
  <c r="H15" i="9"/>
  <c r="R15" i="7"/>
  <c r="V15" i="7" s="1"/>
  <c r="T15" i="7"/>
  <c r="S15" i="7"/>
  <c r="W15" i="7" s="1"/>
  <c r="U15" i="7"/>
  <c r="Y15" i="7" s="1"/>
  <c r="F176" i="9"/>
  <c r="Q176" i="7"/>
  <c r="X127" i="7"/>
  <c r="H26" i="9"/>
  <c r="S26" i="7"/>
  <c r="W26" i="7" s="1"/>
  <c r="R26" i="7"/>
  <c r="V26" i="7" s="1"/>
  <c r="U26" i="7"/>
  <c r="T26" i="7"/>
  <c r="X26" i="7" s="1"/>
  <c r="W164" i="9"/>
  <c r="V164" i="9"/>
  <c r="Z164" i="9" s="1"/>
  <c r="U164" i="9"/>
  <c r="Y164" i="9" s="1"/>
  <c r="L164" i="9"/>
  <c r="P164" i="9" s="1"/>
  <c r="X164" i="9"/>
  <c r="AB164" i="9" s="1"/>
  <c r="N164" i="9"/>
  <c r="R164" i="9" s="1"/>
  <c r="K164" i="9"/>
  <c r="O164" i="9" s="1"/>
  <c r="M164" i="9"/>
  <c r="Q164" i="9" s="1"/>
  <c r="AA138" i="9"/>
  <c r="H124" i="9"/>
  <c r="U124" i="7"/>
  <c r="Y124" i="7" s="1"/>
  <c r="T124" i="7"/>
  <c r="X124" i="7" s="1"/>
  <c r="S124" i="7"/>
  <c r="W124" i="7" s="1"/>
  <c r="R124" i="7"/>
  <c r="V124" i="7" s="1"/>
  <c r="H45" i="9"/>
  <c r="U45" i="7"/>
  <c r="Y45" i="7" s="1"/>
  <c r="R45" i="7"/>
  <c r="V45" i="7" s="1"/>
  <c r="T45" i="7"/>
  <c r="S45" i="7"/>
  <c r="W45" i="7" s="1"/>
  <c r="H106" i="9"/>
  <c r="R106" i="7"/>
  <c r="V106" i="7" s="1"/>
  <c r="S106" i="7"/>
  <c r="W106" i="7" s="1"/>
  <c r="U106" i="7"/>
  <c r="Y106" i="7" s="1"/>
  <c r="T106" i="7"/>
  <c r="X106" i="7" s="1"/>
  <c r="H36" i="9"/>
  <c r="R36" i="7"/>
  <c r="V36" i="7" s="1"/>
  <c r="U36" i="7"/>
  <c r="Y36" i="7" s="1"/>
  <c r="T36" i="7"/>
  <c r="X36" i="7" s="1"/>
  <c r="S36" i="7"/>
  <c r="W36" i="7" s="1"/>
  <c r="X118" i="7"/>
  <c r="H67" i="9"/>
  <c r="R67" i="7"/>
  <c r="V67" i="7" s="1"/>
  <c r="T67" i="7"/>
  <c r="X67" i="7" s="1"/>
  <c r="S67" i="7"/>
  <c r="W67" i="7" s="1"/>
  <c r="U67" i="7"/>
  <c r="Y67" i="7" s="1"/>
  <c r="X39" i="7"/>
  <c r="Y47" i="7"/>
  <c r="F172" i="9"/>
  <c r="Q172" i="7"/>
  <c r="X111" i="7"/>
  <c r="X48" i="7"/>
  <c r="X45" i="7"/>
  <c r="F88" i="9"/>
  <c r="Q88" i="7"/>
  <c r="H129" i="9"/>
  <c r="S129" i="7"/>
  <c r="W129" i="7" s="1"/>
  <c r="U129" i="7"/>
  <c r="Y129" i="7" s="1"/>
  <c r="T129" i="7"/>
  <c r="X129" i="7" s="1"/>
  <c r="R129" i="7"/>
  <c r="V129" i="7" s="1"/>
  <c r="Y113" i="7"/>
  <c r="Y20" i="7"/>
  <c r="F56" i="9"/>
  <c r="Q56" i="7"/>
  <c r="F50" i="9"/>
  <c r="Q50" i="7"/>
  <c r="H153" i="9"/>
  <c r="U153" i="7"/>
  <c r="Y153" i="7" s="1"/>
  <c r="S153" i="7"/>
  <c r="W153" i="7" s="1"/>
  <c r="T153" i="7"/>
  <c r="X153" i="7" s="1"/>
  <c r="R153" i="7"/>
  <c r="V153" i="7" s="1"/>
  <c r="Y136" i="7"/>
  <c r="F174" i="9"/>
  <c r="Q174" i="7"/>
  <c r="F77" i="9"/>
  <c r="Q77" i="7"/>
  <c r="H25" i="9"/>
  <c r="U25" i="7"/>
  <c r="S25" i="7"/>
  <c r="W25" i="7" s="1"/>
  <c r="T25" i="7"/>
  <c r="X25" i="7" s="1"/>
  <c r="R25" i="7"/>
  <c r="V25" i="7" s="1"/>
  <c r="H109" i="9"/>
  <c r="S109" i="7"/>
  <c r="W109" i="7" s="1"/>
  <c r="R109" i="7"/>
  <c r="V109" i="7" s="1"/>
  <c r="U109" i="7"/>
  <c r="Y109" i="7" s="1"/>
  <c r="T109" i="7"/>
  <c r="X109" i="7" s="1"/>
  <c r="F185" i="9"/>
  <c r="Q185" i="7"/>
  <c r="H182" i="9"/>
  <c r="R182" i="7"/>
  <c r="V182" i="7" s="1"/>
  <c r="T182" i="7"/>
  <c r="X182" i="7" s="1"/>
  <c r="S182" i="7"/>
  <c r="W182" i="7" s="1"/>
  <c r="U182" i="7"/>
  <c r="Y182" i="7" s="1"/>
  <c r="K181" i="9"/>
  <c r="O181" i="9" s="1"/>
  <c r="L181" i="9"/>
  <c r="P181" i="9" s="1"/>
  <c r="X181" i="9"/>
  <c r="AB181" i="9" s="1"/>
  <c r="V181" i="9"/>
  <c r="Z181" i="9" s="1"/>
  <c r="U181" i="9"/>
  <c r="Y181" i="9" s="1"/>
  <c r="N181" i="9"/>
  <c r="R181" i="9" s="1"/>
  <c r="M181" i="9"/>
  <c r="Q181" i="9" s="1"/>
  <c r="W181" i="9"/>
  <c r="AA181" i="9" s="1"/>
  <c r="H59" i="9"/>
  <c r="R59" i="7"/>
  <c r="V59" i="7" s="1"/>
  <c r="U59" i="7"/>
  <c r="Y59" i="7" s="1"/>
  <c r="S59" i="7"/>
  <c r="W59" i="7" s="1"/>
  <c r="T59" i="7"/>
  <c r="Z151" i="7"/>
  <c r="AA151" i="7"/>
  <c r="AB151" i="7" s="1"/>
  <c r="H117" i="9"/>
  <c r="S117" i="7"/>
  <c r="W117" i="7" s="1"/>
  <c r="R117" i="7"/>
  <c r="V117" i="7" s="1"/>
  <c r="T117" i="7"/>
  <c r="X117" i="7" s="1"/>
  <c r="U117" i="7"/>
  <c r="Y117" i="7" s="1"/>
  <c r="Y68" i="10"/>
  <c r="X67" i="10" s="1"/>
  <c r="W66" i="10" s="1"/>
  <c r="V65" i="10" s="1"/>
  <c r="U64" i="10" s="1"/>
  <c r="Y86" i="10"/>
  <c r="X85" i="10" s="1"/>
  <c r="W84" i="10" s="1"/>
  <c r="V83" i="10" s="1"/>
  <c r="U82" i="10" s="1"/>
  <c r="Y96" i="10"/>
  <c r="X95" i="10" s="1"/>
  <c r="W94" i="10" s="1"/>
  <c r="V93" i="10" s="1"/>
  <c r="F133" i="9"/>
  <c r="Q133" i="7"/>
  <c r="H119" i="9"/>
  <c r="T119" i="7"/>
  <c r="R119" i="7"/>
  <c r="V119" i="7" s="1"/>
  <c r="S119" i="7"/>
  <c r="W119" i="7" s="1"/>
  <c r="U119" i="7"/>
  <c r="Y119" i="7" s="1"/>
  <c r="Q138" i="9"/>
  <c r="H72" i="9"/>
  <c r="R72" i="7"/>
  <c r="V72" i="7" s="1"/>
  <c r="U72" i="7"/>
  <c r="S72" i="7"/>
  <c r="W72" i="7" s="1"/>
  <c r="T72" i="7"/>
  <c r="X72" i="7" s="1"/>
  <c r="H120" i="9"/>
  <c r="R120" i="7"/>
  <c r="V120" i="7" s="1"/>
  <c r="U120" i="7"/>
  <c r="Y120" i="7" s="1"/>
  <c r="T120" i="7"/>
  <c r="X120" i="7" s="1"/>
  <c r="S120" i="7"/>
  <c r="W120" i="7" s="1"/>
  <c r="H162" i="9"/>
  <c r="U162" i="7"/>
  <c r="Y162" i="7" s="1"/>
  <c r="S162" i="7"/>
  <c r="W162" i="7" s="1"/>
  <c r="R162" i="7"/>
  <c r="V162" i="7" s="1"/>
  <c r="T162" i="7"/>
  <c r="X162" i="7" s="1"/>
  <c r="F152" i="9"/>
  <c r="Q152" i="7"/>
  <c r="F75" i="9"/>
  <c r="Q75" i="7"/>
  <c r="H37" i="9"/>
  <c r="U37" i="7"/>
  <c r="Y37" i="7" s="1"/>
  <c r="S37" i="7"/>
  <c r="W37" i="7" s="1"/>
  <c r="R37" i="7"/>
  <c r="V37" i="7" s="1"/>
  <c r="T37" i="7"/>
  <c r="X37" i="7" s="1"/>
  <c r="X140" i="9"/>
  <c r="AB140" i="9" s="1"/>
  <c r="W140" i="9"/>
  <c r="L140" i="9"/>
  <c r="P140" i="9" s="1"/>
  <c r="N140" i="9"/>
  <c r="V140" i="9"/>
  <c r="Z140" i="9" s="1"/>
  <c r="K140" i="9"/>
  <c r="O140" i="9" s="1"/>
  <c r="M140" i="9"/>
  <c r="U140" i="9"/>
  <c r="Y140" i="9" s="1"/>
  <c r="R140" i="9"/>
  <c r="AA140" i="9"/>
  <c r="Q140" i="9"/>
  <c r="H134" i="9"/>
  <c r="U134" i="7"/>
  <c r="Y134" i="7" s="1"/>
  <c r="R134" i="7"/>
  <c r="V134" i="7" s="1"/>
  <c r="S134" i="7"/>
  <c r="W134" i="7" s="1"/>
  <c r="T134" i="7"/>
  <c r="X134" i="7" s="1"/>
  <c r="H11" i="9"/>
  <c r="T11" i="7"/>
  <c r="X11" i="7" s="1"/>
  <c r="S11" i="7"/>
  <c r="W11" i="7" s="1"/>
  <c r="U11" i="7"/>
  <c r="Y11" i="7" s="1"/>
  <c r="R11" i="7"/>
  <c r="V11" i="7" s="1"/>
  <c r="H156" i="9"/>
  <c r="T156" i="7"/>
  <c r="X156" i="7" s="1"/>
  <c r="R156" i="7"/>
  <c r="V156" i="7" s="1"/>
  <c r="U156" i="7"/>
  <c r="Y156" i="7" s="1"/>
  <c r="S156" i="7"/>
  <c r="W156" i="7" s="1"/>
  <c r="F74" i="9"/>
  <c r="Q74" i="7"/>
  <c r="H20" i="8"/>
  <c r="H24" i="8" s="1"/>
  <c r="H21" i="8"/>
  <c r="H25" i="8" s="1"/>
  <c r="H18" i="8"/>
  <c r="H22" i="8" s="1"/>
  <c r="H19" i="8"/>
  <c r="H23" i="8" s="1"/>
  <c r="F141" i="9"/>
  <c r="Q141" i="7"/>
  <c r="H112" i="9"/>
  <c r="U112" i="7"/>
  <c r="Y112" i="7" s="1"/>
  <c r="T112" i="7"/>
  <c r="X112" i="7" s="1"/>
  <c r="R112" i="7"/>
  <c r="V112" i="7" s="1"/>
  <c r="S112" i="7"/>
  <c r="W112" i="7" s="1"/>
  <c r="F60" i="9"/>
  <c r="Q60" i="7"/>
  <c r="H18" i="9"/>
  <c r="T18" i="7"/>
  <c r="X18" i="7" s="1"/>
  <c r="S18" i="7"/>
  <c r="W18" i="7" s="1"/>
  <c r="R18" i="7"/>
  <c r="V18" i="7" s="1"/>
  <c r="U18" i="7"/>
  <c r="Y18" i="7" s="1"/>
  <c r="Z128" i="7"/>
  <c r="AA128" i="7"/>
  <c r="AB128" i="7" s="1"/>
  <c r="H161" i="9"/>
  <c r="U161" i="7"/>
  <c r="Y161" i="7" s="1"/>
  <c r="S161" i="7"/>
  <c r="W161" i="7" s="1"/>
  <c r="T161" i="7"/>
  <c r="X161" i="7" s="1"/>
  <c r="R161" i="7"/>
  <c r="V161" i="7" s="1"/>
  <c r="F95" i="9"/>
  <c r="Q95" i="7"/>
  <c r="Y58" i="10"/>
  <c r="X57" i="10" s="1"/>
  <c r="W56" i="10" s="1"/>
  <c r="V55" i="10" s="1"/>
  <c r="U54" i="10" s="1"/>
  <c r="T53" i="10" s="1"/>
  <c r="H186" i="9"/>
  <c r="U186" i="7"/>
  <c r="Y186" i="7" s="1"/>
  <c r="R186" i="7"/>
  <c r="V186" i="7" s="1"/>
  <c r="T186" i="7"/>
  <c r="X186" i="7" s="1"/>
  <c r="S186" i="7"/>
  <c r="W186" i="7" s="1"/>
  <c r="H31" i="9"/>
  <c r="R31" i="7"/>
  <c r="V31" i="7" s="1"/>
  <c r="U31" i="7"/>
  <c r="Y31" i="7" s="1"/>
  <c r="S31" i="7"/>
  <c r="W31" i="7" s="1"/>
  <c r="T31" i="7"/>
  <c r="X31" i="7" s="1"/>
  <c r="U63" i="9"/>
  <c r="Y63" i="9" s="1"/>
  <c r="K63" i="9"/>
  <c r="O63" i="9" s="1"/>
  <c r="M63" i="9"/>
  <c r="Q63" i="9" s="1"/>
  <c r="W63" i="9"/>
  <c r="V63" i="9"/>
  <c r="Z63" i="9" s="1"/>
  <c r="N63" i="9"/>
  <c r="R63" i="9" s="1"/>
  <c r="X63" i="9"/>
  <c r="AB63" i="9" s="1"/>
  <c r="L63" i="9"/>
  <c r="P63" i="9" s="1"/>
  <c r="F96" i="9"/>
  <c r="Q96" i="7"/>
  <c r="H53" i="9"/>
  <c r="R53" i="7"/>
  <c r="V53" i="7" s="1"/>
  <c r="U53" i="7"/>
  <c r="Y53" i="7" s="1"/>
  <c r="S53" i="7"/>
  <c r="W53" i="7" s="1"/>
  <c r="T53" i="7"/>
  <c r="X53" i="7" s="1"/>
  <c r="H24" i="9"/>
  <c r="U24" i="7"/>
  <c r="Y24" i="7" s="1"/>
  <c r="R24" i="7"/>
  <c r="V24" i="7" s="1"/>
  <c r="T24" i="7"/>
  <c r="X24" i="7" s="1"/>
  <c r="S24" i="7"/>
  <c r="W24" i="7" s="1"/>
  <c r="H21" i="9"/>
  <c r="U21" i="7"/>
  <c r="Y21" i="7" s="1"/>
  <c r="T21" i="7"/>
  <c r="X21" i="7" s="1"/>
  <c r="R21" i="7"/>
  <c r="V21" i="7" s="1"/>
  <c r="S21" i="7"/>
  <c r="W21" i="7" s="1"/>
  <c r="Z175" i="7"/>
  <c r="AA175" i="7"/>
  <c r="F179" i="9"/>
  <c r="Q179" i="7"/>
  <c r="N165" i="9"/>
  <c r="R165" i="9" s="1"/>
  <c r="M165" i="9"/>
  <c r="Q165" i="9" s="1"/>
  <c r="L165" i="9"/>
  <c r="P165" i="9" s="1"/>
  <c r="X165" i="9"/>
  <c r="W165" i="9"/>
  <c r="AA165" i="9" s="1"/>
  <c r="K165" i="9"/>
  <c r="O165" i="9" s="1"/>
  <c r="V165" i="9"/>
  <c r="Z165" i="9" s="1"/>
  <c r="U165" i="9"/>
  <c r="Y165" i="9" s="1"/>
  <c r="H54" i="9"/>
  <c r="R54" i="7"/>
  <c r="V54" i="7" s="1"/>
  <c r="U54" i="7"/>
  <c r="Y54" i="7" s="1"/>
  <c r="S54" i="7"/>
  <c r="W54" i="7" s="1"/>
  <c r="T54" i="7"/>
  <c r="X54" i="7" s="1"/>
  <c r="F21" i="8"/>
  <c r="F25" i="8" s="1"/>
  <c r="F19" i="8"/>
  <c r="F23" i="8" s="1"/>
  <c r="F18" i="8"/>
  <c r="F22" i="8" s="1"/>
  <c r="F20" i="8"/>
  <c r="F24" i="8" s="1"/>
  <c r="H55" i="9"/>
  <c r="T55" i="7"/>
  <c r="X55" i="7" s="1"/>
  <c r="R55" i="7"/>
  <c r="V55" i="7" s="1"/>
  <c r="U55" i="7"/>
  <c r="Y55" i="7" s="1"/>
  <c r="S55" i="7"/>
  <c r="W55" i="7" s="1"/>
  <c r="H135" i="9"/>
  <c r="R135" i="7"/>
  <c r="V135" i="7" s="1"/>
  <c r="S135" i="7"/>
  <c r="W135" i="7" s="1"/>
  <c r="U135" i="7"/>
  <c r="Y135" i="7" s="1"/>
  <c r="T135" i="7"/>
  <c r="X135" i="7" s="1"/>
  <c r="H65" i="9"/>
  <c r="U65" i="7"/>
  <c r="Y65" i="7" s="1"/>
  <c r="R65" i="7"/>
  <c r="V65" i="7" s="1"/>
  <c r="S65" i="7"/>
  <c r="W65" i="7" s="1"/>
  <c r="T65" i="7"/>
  <c r="X65" i="7" s="1"/>
  <c r="I19" i="8"/>
  <c r="I23" i="8" s="1"/>
  <c r="I20" i="8"/>
  <c r="I24" i="8" s="1"/>
  <c r="I21" i="8"/>
  <c r="I25" i="8" s="1"/>
  <c r="I18" i="8"/>
  <c r="I22" i="8" s="1"/>
  <c r="Y144" i="7"/>
  <c r="X59" i="7"/>
  <c r="D25" i="8"/>
  <c r="Y105" i="7"/>
  <c r="Y177" i="7"/>
  <c r="F86" i="9"/>
  <c r="Q86" i="7"/>
  <c r="F70" i="9"/>
  <c r="Q70" i="7"/>
  <c r="H121" i="9"/>
  <c r="U121" i="7"/>
  <c r="Y121" i="7" s="1"/>
  <c r="R121" i="7"/>
  <c r="V121" i="7" s="1"/>
  <c r="T121" i="7"/>
  <c r="X121" i="7" s="1"/>
  <c r="S121" i="7"/>
  <c r="W121" i="7" s="1"/>
  <c r="F147" i="9"/>
  <c r="Q147" i="7"/>
  <c r="F139" i="9"/>
  <c r="Q139" i="7"/>
  <c r="H163" i="9"/>
  <c r="S163" i="7"/>
  <c r="W163" i="7" s="1"/>
  <c r="R163" i="7"/>
  <c r="V163" i="7" s="1"/>
  <c r="T163" i="7"/>
  <c r="X163" i="7" s="1"/>
  <c r="U163" i="7"/>
  <c r="Y163" i="7" s="1"/>
  <c r="X71" i="7"/>
  <c r="H12" i="9"/>
  <c r="U12" i="7"/>
  <c r="Y12" i="7" s="1"/>
  <c r="T12" i="7"/>
  <c r="X12" i="7" s="1"/>
  <c r="S12" i="7"/>
  <c r="W12" i="7" s="1"/>
  <c r="R12" i="7"/>
  <c r="V12" i="7" s="1"/>
  <c r="X173" i="9"/>
  <c r="V173" i="9"/>
  <c r="Z173" i="9" s="1"/>
  <c r="U173" i="9"/>
  <c r="Y173" i="9" s="1"/>
  <c r="W173" i="9"/>
  <c r="N173" i="9"/>
  <c r="Q173" i="9"/>
  <c r="K173" i="9"/>
  <c r="O173" i="9" s="1"/>
  <c r="R173" i="9"/>
  <c r="M173" i="9"/>
  <c r="L173" i="9"/>
  <c r="P173" i="9" s="1"/>
  <c r="F80" i="9"/>
  <c r="Q80" i="7"/>
  <c r="H130" i="9"/>
  <c r="S130" i="7"/>
  <c r="W130" i="7" s="1"/>
  <c r="U130" i="7"/>
  <c r="Y130" i="7" s="1"/>
  <c r="R130" i="7"/>
  <c r="V130" i="7" s="1"/>
  <c r="T130" i="7"/>
  <c r="Z159" i="7"/>
  <c r="AA159" i="7"/>
  <c r="X8" i="7"/>
  <c r="H160" i="9"/>
  <c r="R160" i="7"/>
  <c r="V160" i="7" s="1"/>
  <c r="U160" i="7"/>
  <c r="Y160" i="7" s="1"/>
  <c r="S160" i="7"/>
  <c r="W160" i="7" s="1"/>
  <c r="T160" i="7"/>
  <c r="X160" i="7" s="1"/>
  <c r="Y108" i="7"/>
  <c r="F168" i="9"/>
  <c r="Q168" i="7"/>
  <c r="H30" i="9"/>
  <c r="T30" i="7"/>
  <c r="X30" i="7" s="1"/>
  <c r="R30" i="7"/>
  <c r="V30" i="7" s="1"/>
  <c r="S30" i="7"/>
  <c r="W30" i="7" s="1"/>
  <c r="U30" i="7"/>
  <c r="Y30" i="7" s="1"/>
  <c r="X23" i="7"/>
  <c r="H40" i="9"/>
  <c r="T40" i="7"/>
  <c r="X40" i="7" s="1"/>
  <c r="S40" i="7"/>
  <c r="W40" i="7" s="1"/>
  <c r="U40" i="7"/>
  <c r="Y40" i="7" s="1"/>
  <c r="R40" i="7"/>
  <c r="V40" i="7" s="1"/>
  <c r="H42" i="9"/>
  <c r="U42" i="7"/>
  <c r="Y42" i="7" s="1"/>
  <c r="T42" i="7"/>
  <c r="X42" i="7" s="1"/>
  <c r="R42" i="7"/>
  <c r="V42" i="7" s="1"/>
  <c r="S42" i="7"/>
  <c r="W42" i="7" s="1"/>
  <c r="H41" i="9"/>
  <c r="T41" i="7"/>
  <c r="X41" i="7" s="1"/>
  <c r="U41" i="7"/>
  <c r="Y41" i="7" s="1"/>
  <c r="S41" i="7"/>
  <c r="W41" i="7" s="1"/>
  <c r="R41" i="7"/>
  <c r="V41" i="7" s="1"/>
  <c r="X144" i="7"/>
  <c r="F131" i="9"/>
  <c r="Q131" i="7"/>
  <c r="Z154" i="7"/>
  <c r="AA154" i="7"/>
  <c r="D24" i="8"/>
  <c r="H101" i="9"/>
  <c r="T101" i="7"/>
  <c r="X101" i="7" s="1"/>
  <c r="S101" i="7"/>
  <c r="W101" i="7" s="1"/>
  <c r="U101" i="7"/>
  <c r="Y101" i="7" s="1"/>
  <c r="R101" i="7"/>
  <c r="V101" i="7" s="1"/>
  <c r="H32" i="9"/>
  <c r="U32" i="7"/>
  <c r="Y32" i="7" s="1"/>
  <c r="R32" i="7"/>
  <c r="V32" i="7" s="1"/>
  <c r="T32" i="7"/>
  <c r="X32" i="7" s="1"/>
  <c r="S32" i="7"/>
  <c r="W32" i="7" s="1"/>
  <c r="C20" i="8"/>
  <c r="C24" i="8" s="1"/>
  <c r="C21" i="8"/>
  <c r="C25" i="8" s="1"/>
  <c r="C19" i="8"/>
  <c r="C23" i="8" s="1"/>
  <c r="C18" i="8"/>
  <c r="C22" i="8" s="1"/>
  <c r="V151" i="9"/>
  <c r="Z151" i="9" s="1"/>
  <c r="X151" i="9"/>
  <c r="AB151" i="9" s="1"/>
  <c r="W151" i="9"/>
  <c r="AA151" i="9" s="1"/>
  <c r="U151" i="9"/>
  <c r="Y151" i="9" s="1"/>
  <c r="L151" i="9"/>
  <c r="P151" i="9" s="1"/>
  <c r="K151" i="9"/>
  <c r="O151" i="9" s="1"/>
  <c r="M151" i="9"/>
  <c r="Q151" i="9" s="1"/>
  <c r="N151" i="9"/>
  <c r="R151" i="9" s="1"/>
  <c r="H127" i="9"/>
  <c r="T127" i="7"/>
  <c r="R127" i="7"/>
  <c r="V127" i="7" s="1"/>
  <c r="S127" i="7"/>
  <c r="W127" i="7" s="1"/>
  <c r="U127" i="7"/>
  <c r="Y127" i="7" s="1"/>
  <c r="K128" i="9"/>
  <c r="O128" i="9" s="1"/>
  <c r="N128" i="9"/>
  <c r="R128" i="9" s="1"/>
  <c r="W128" i="9"/>
  <c r="AA128" i="9" s="1"/>
  <c r="M128" i="9"/>
  <c r="Q128" i="9" s="1"/>
  <c r="V128" i="9"/>
  <c r="Z128" i="9" s="1"/>
  <c r="U128" i="9"/>
  <c r="Y128" i="9" s="1"/>
  <c r="L128" i="9"/>
  <c r="P128" i="9" s="1"/>
  <c r="X128" i="9"/>
  <c r="AB128" i="9" s="1"/>
  <c r="F85" i="9"/>
  <c r="Q85" i="7"/>
  <c r="H4" i="9"/>
  <c r="U4" i="7"/>
  <c r="S4" i="7"/>
  <c r="W4" i="7" s="1"/>
  <c r="T4" i="7"/>
  <c r="X4" i="7" s="1"/>
  <c r="R4" i="7"/>
  <c r="V4" i="7" s="1"/>
  <c r="AA173" i="9"/>
  <c r="AA164" i="9"/>
  <c r="H28" i="9"/>
  <c r="S28" i="7"/>
  <c r="W28" i="7" s="1"/>
  <c r="R28" i="7"/>
  <c r="V28" i="7" s="1"/>
  <c r="U28" i="7"/>
  <c r="Y28" i="7" s="1"/>
  <c r="T28" i="7"/>
  <c r="X28" i="7" s="1"/>
  <c r="H126" i="9"/>
  <c r="R126" i="7"/>
  <c r="V126" i="7" s="1"/>
  <c r="U126" i="7"/>
  <c r="Y126" i="7" s="1"/>
  <c r="T126" i="7"/>
  <c r="X126" i="7" s="1"/>
  <c r="S126" i="7"/>
  <c r="W126" i="7" s="1"/>
  <c r="H83" i="9"/>
  <c r="R83" i="7"/>
  <c r="V83" i="7" s="1"/>
  <c r="S83" i="7"/>
  <c r="W83" i="7" s="1"/>
  <c r="U83" i="7"/>
  <c r="Y83" i="7" s="1"/>
  <c r="T83" i="7"/>
  <c r="X83" i="7" s="1"/>
  <c r="H180" i="9"/>
  <c r="R180" i="7"/>
  <c r="V180" i="7" s="1"/>
  <c r="U180" i="7"/>
  <c r="Y180" i="7" s="1"/>
  <c r="T180" i="7"/>
  <c r="X180" i="7" s="1"/>
  <c r="S180" i="7"/>
  <c r="W180" i="7" s="1"/>
  <c r="H6" i="9"/>
  <c r="U6" i="7"/>
  <c r="Y6" i="7" s="1"/>
  <c r="R6" i="7"/>
  <c r="V6" i="7" s="1"/>
  <c r="T6" i="7"/>
  <c r="X6" i="7" s="1"/>
  <c r="S6" i="7"/>
  <c r="W6" i="7" s="1"/>
  <c r="F81" i="9"/>
  <c r="Q81" i="7"/>
  <c r="H58" i="9"/>
  <c r="R58" i="7"/>
  <c r="V58" i="7" s="1"/>
  <c r="U58" i="7"/>
  <c r="Y58" i="7" s="1"/>
  <c r="S58" i="7"/>
  <c r="W58" i="7" s="1"/>
  <c r="T58" i="7"/>
  <c r="X58" i="7" s="1"/>
  <c r="H142" i="9"/>
  <c r="T142" i="7"/>
  <c r="X142" i="7" s="1"/>
  <c r="S142" i="7"/>
  <c r="W142" i="7" s="1"/>
  <c r="R142" i="7"/>
  <c r="V142" i="7" s="1"/>
  <c r="U142" i="7"/>
  <c r="Y142" i="7" s="1"/>
  <c r="H122" i="9"/>
  <c r="U122" i="7"/>
  <c r="Y122" i="7" s="1"/>
  <c r="S122" i="7"/>
  <c r="W122" i="7" s="1"/>
  <c r="T122" i="7"/>
  <c r="X122" i="7" s="1"/>
  <c r="R122" i="7"/>
  <c r="V122" i="7" s="1"/>
  <c r="Y25" i="7"/>
  <c r="F90" i="9"/>
  <c r="Q90" i="7"/>
  <c r="Y23" i="7"/>
  <c r="H125" i="9"/>
  <c r="R125" i="7"/>
  <c r="V125" i="7" s="1"/>
  <c r="U125" i="7"/>
  <c r="Y125" i="7" s="1"/>
  <c r="T125" i="7"/>
  <c r="X125" i="7" s="1"/>
  <c r="S125" i="7"/>
  <c r="W125" i="7" s="1"/>
  <c r="F158" i="9"/>
  <c r="Q158" i="7"/>
  <c r="Y104" i="7"/>
  <c r="X115" i="7"/>
  <c r="AB157" i="9"/>
  <c r="M154" i="9"/>
  <c r="Q154" i="9" s="1"/>
  <c r="V154" i="9"/>
  <c r="Z154" i="9" s="1"/>
  <c r="L154" i="9"/>
  <c r="P154" i="9" s="1"/>
  <c r="U154" i="9"/>
  <c r="Y154" i="9" s="1"/>
  <c r="AC154" i="9" s="1"/>
  <c r="K154" i="9"/>
  <c r="O154" i="9" s="1"/>
  <c r="N154" i="9"/>
  <c r="R154" i="9" s="1"/>
  <c r="X154" i="9"/>
  <c r="AB154" i="9" s="1"/>
  <c r="W154" i="9"/>
  <c r="AA154" i="9" s="1"/>
  <c r="H29" i="9"/>
  <c r="T29" i="7"/>
  <c r="X29" i="7" s="1"/>
  <c r="S29" i="7"/>
  <c r="W29" i="7" s="1"/>
  <c r="R29" i="7"/>
  <c r="V29" i="7" s="1"/>
  <c r="U29" i="7"/>
  <c r="Y29" i="7" s="1"/>
  <c r="X5" i="7"/>
  <c r="Y17" i="7"/>
  <c r="X15" i="7"/>
  <c r="Y183" i="7"/>
  <c r="H145" i="9"/>
  <c r="S145" i="7"/>
  <c r="W145" i="7" s="1"/>
  <c r="R145" i="7"/>
  <c r="V145" i="7" s="1"/>
  <c r="U145" i="7"/>
  <c r="Y145" i="7" s="1"/>
  <c r="T145" i="7"/>
  <c r="X145" i="7" s="1"/>
  <c r="AB165" i="9"/>
  <c r="F169" i="9"/>
  <c r="Q169" i="7"/>
  <c r="G25" i="8"/>
  <c r="H16" i="9"/>
  <c r="R16" i="7"/>
  <c r="V16" i="7" s="1"/>
  <c r="U16" i="7"/>
  <c r="Y16" i="7" s="1"/>
  <c r="T16" i="7"/>
  <c r="X16" i="7" s="1"/>
  <c r="S16" i="7"/>
  <c r="W16" i="7" s="1"/>
  <c r="AB159" i="9"/>
  <c r="X132" i="7"/>
  <c r="Y57" i="10"/>
  <c r="X56" i="10" s="1"/>
  <c r="W55" i="10" s="1"/>
  <c r="V54" i="10" s="1"/>
  <c r="E19" i="8"/>
  <c r="E23" i="8" s="1"/>
  <c r="E21" i="8"/>
  <c r="E25" i="8" s="1"/>
  <c r="E20" i="8"/>
  <c r="E24" i="8" s="1"/>
  <c r="E18" i="8"/>
  <c r="E22" i="8" s="1"/>
  <c r="Y26" i="7"/>
  <c r="H7" i="9"/>
  <c r="U7" i="7"/>
  <c r="Y7" i="7" s="1"/>
  <c r="S7" i="7"/>
  <c r="W7" i="7" s="1"/>
  <c r="T7" i="7"/>
  <c r="X7" i="7" s="1"/>
  <c r="R7" i="7"/>
  <c r="V7" i="7" s="1"/>
  <c r="H57" i="9"/>
  <c r="S57" i="7"/>
  <c r="W57" i="7" s="1"/>
  <c r="T57" i="7"/>
  <c r="X57" i="7" s="1"/>
  <c r="U57" i="7"/>
  <c r="Y57" i="7" s="1"/>
  <c r="R57" i="7"/>
  <c r="V57" i="7" s="1"/>
  <c r="Q159" i="9"/>
  <c r="AA63" i="9"/>
  <c r="Y4" i="7"/>
  <c r="X119" i="7"/>
  <c r="AB173" i="9"/>
  <c r="F97" i="9"/>
  <c r="Q97" i="7"/>
  <c r="U88" i="10" l="1"/>
  <c r="X171" i="7"/>
  <c r="X142" i="9"/>
  <c r="N142" i="9"/>
  <c r="M142" i="9"/>
  <c r="V142" i="9"/>
  <c r="Z142" i="9" s="1"/>
  <c r="K142" i="9"/>
  <c r="O142" i="9" s="1"/>
  <c r="W142" i="9"/>
  <c r="U142" i="9"/>
  <c r="Y142" i="9" s="1"/>
  <c r="L142" i="9"/>
  <c r="P142" i="9" s="1"/>
  <c r="Z6" i="7"/>
  <c r="AA6" i="7"/>
  <c r="Z126" i="7"/>
  <c r="AA126" i="7"/>
  <c r="U28" i="9"/>
  <c r="Y28" i="9" s="1"/>
  <c r="X28" i="9"/>
  <c r="W28" i="9"/>
  <c r="M28" i="9"/>
  <c r="Q28" i="9" s="1"/>
  <c r="K28" i="9"/>
  <c r="O28" i="9" s="1"/>
  <c r="V28" i="9"/>
  <c r="Z28" i="9" s="1"/>
  <c r="N28" i="9"/>
  <c r="L28" i="9"/>
  <c r="P28" i="9" s="1"/>
  <c r="S151" i="9"/>
  <c r="Z101" i="7"/>
  <c r="AA101" i="7"/>
  <c r="AB101" i="7" s="1"/>
  <c r="AB154" i="7"/>
  <c r="Z160" i="7"/>
  <c r="AA160" i="7"/>
  <c r="V12" i="9"/>
  <c r="Z12" i="9" s="1"/>
  <c r="M12" i="9"/>
  <c r="K12" i="9"/>
  <c r="O12" i="9" s="1"/>
  <c r="L12" i="9"/>
  <c r="P12" i="9" s="1"/>
  <c r="U12" i="9"/>
  <c r="Y12" i="9" s="1"/>
  <c r="X12" i="9"/>
  <c r="AB12" i="9" s="1"/>
  <c r="W12" i="9"/>
  <c r="AA12" i="9" s="1"/>
  <c r="N12" i="9"/>
  <c r="R12" i="9" s="1"/>
  <c r="L163" i="9"/>
  <c r="P163" i="9" s="1"/>
  <c r="K163" i="9"/>
  <c r="O163" i="9" s="1"/>
  <c r="W163" i="9"/>
  <c r="N163" i="9"/>
  <c r="X163" i="9"/>
  <c r="AB163" i="9" s="1"/>
  <c r="V163" i="9"/>
  <c r="Z163" i="9" s="1"/>
  <c r="M163" i="9"/>
  <c r="Q163" i="9" s="1"/>
  <c r="U163" i="9"/>
  <c r="Y163" i="9" s="1"/>
  <c r="H70" i="9"/>
  <c r="T70" i="7"/>
  <c r="S70" i="7"/>
  <c r="W70" i="7" s="1"/>
  <c r="R70" i="7"/>
  <c r="V70" i="7" s="1"/>
  <c r="U70" i="7"/>
  <c r="V54" i="9"/>
  <c r="Z54" i="9" s="1"/>
  <c r="N54" i="9"/>
  <c r="L54" i="9"/>
  <c r="P54" i="9" s="1"/>
  <c r="W54" i="9"/>
  <c r="AA54" i="9" s="1"/>
  <c r="K54" i="9"/>
  <c r="O54" i="9" s="1"/>
  <c r="U54" i="9"/>
  <c r="Y54" i="9" s="1"/>
  <c r="X54" i="9"/>
  <c r="AB54" i="9" s="1"/>
  <c r="M54" i="9"/>
  <c r="Q54" i="9" s="1"/>
  <c r="H60" i="9"/>
  <c r="S60" i="7"/>
  <c r="W60" i="7" s="1"/>
  <c r="T60" i="7"/>
  <c r="X60" i="7" s="1"/>
  <c r="U60" i="7"/>
  <c r="Y60" i="7" s="1"/>
  <c r="R60" i="7"/>
  <c r="V60" i="7" s="1"/>
  <c r="K162" i="9"/>
  <c r="O162" i="9" s="1"/>
  <c r="X162" i="9"/>
  <c r="AB162" i="9" s="1"/>
  <c r="V162" i="9"/>
  <c r="Z162" i="9" s="1"/>
  <c r="W162" i="9"/>
  <c r="AA162" i="9" s="1"/>
  <c r="M162" i="9"/>
  <c r="Q162" i="9" s="1"/>
  <c r="N162" i="9"/>
  <c r="R162" i="9" s="1"/>
  <c r="U162" i="9"/>
  <c r="Y162" i="9" s="1"/>
  <c r="L162" i="9"/>
  <c r="P162" i="9" s="1"/>
  <c r="U119" i="9"/>
  <c r="Y119" i="9" s="1"/>
  <c r="V119" i="9"/>
  <c r="Z119" i="9" s="1"/>
  <c r="K119" i="9"/>
  <c r="O119" i="9" s="1"/>
  <c r="N119" i="9"/>
  <c r="L119" i="9"/>
  <c r="P119" i="9" s="1"/>
  <c r="X119" i="9"/>
  <c r="AB119" i="9" s="1"/>
  <c r="M119" i="9"/>
  <c r="Q119" i="9" s="1"/>
  <c r="W119" i="9"/>
  <c r="AA119" i="9" s="1"/>
  <c r="Q15" i="9"/>
  <c r="Z59" i="7"/>
  <c r="AA59" i="7"/>
  <c r="N153" i="9"/>
  <c r="M153" i="9"/>
  <c r="Q153" i="9" s="1"/>
  <c r="X153" i="9"/>
  <c r="AB153" i="9" s="1"/>
  <c r="L153" i="9"/>
  <c r="P153" i="9" s="1"/>
  <c r="W153" i="9"/>
  <c r="AA153" i="9" s="1"/>
  <c r="K153" i="9"/>
  <c r="O153" i="9" s="1"/>
  <c r="V153" i="9"/>
  <c r="Z153" i="9" s="1"/>
  <c r="U153" i="9"/>
  <c r="Y153" i="9" s="1"/>
  <c r="L45" i="9"/>
  <c r="P45" i="9" s="1"/>
  <c r="U45" i="9"/>
  <c r="Y45" i="9" s="1"/>
  <c r="K45" i="9"/>
  <c r="O45" i="9" s="1"/>
  <c r="W45" i="9"/>
  <c r="N45" i="9"/>
  <c r="X45" i="9"/>
  <c r="AB45" i="9" s="1"/>
  <c r="V45" i="9"/>
  <c r="Z45" i="9" s="1"/>
  <c r="M45" i="9"/>
  <c r="S157" i="9"/>
  <c r="Z91" i="7"/>
  <c r="AA91" i="7"/>
  <c r="AB91" i="7" s="1"/>
  <c r="Z44" i="7"/>
  <c r="AA44" i="7"/>
  <c r="AB44" i="7" s="1"/>
  <c r="N22" i="9"/>
  <c r="M22" i="9"/>
  <c r="Q22" i="9" s="1"/>
  <c r="W22" i="9"/>
  <c r="AA22" i="9" s="1"/>
  <c r="L22" i="9"/>
  <c r="P22" i="9" s="1"/>
  <c r="V22" i="9"/>
  <c r="Z22" i="9" s="1"/>
  <c r="X22" i="9"/>
  <c r="AB22" i="9" s="1"/>
  <c r="K22" i="9"/>
  <c r="O22" i="9" s="1"/>
  <c r="U22" i="9"/>
  <c r="Y22" i="9" s="1"/>
  <c r="W14" i="9"/>
  <c r="AA14" i="9" s="1"/>
  <c r="V14" i="9"/>
  <c r="Z14" i="9" s="1"/>
  <c r="U14" i="9"/>
  <c r="Y14" i="9" s="1"/>
  <c r="N14" i="9"/>
  <c r="R14" i="9" s="1"/>
  <c r="M14" i="9"/>
  <c r="Q14" i="9" s="1"/>
  <c r="X14" i="9"/>
  <c r="L14" i="9"/>
  <c r="P14" i="9" s="1"/>
  <c r="K14" i="9"/>
  <c r="O14" i="9" s="1"/>
  <c r="M108" i="9"/>
  <c r="Q108" i="9" s="1"/>
  <c r="U108" i="9"/>
  <c r="Y108" i="9" s="1"/>
  <c r="W108" i="9"/>
  <c r="AA108" i="9" s="1"/>
  <c r="X108" i="9"/>
  <c r="AB108" i="9" s="1"/>
  <c r="N108" i="9"/>
  <c r="R108" i="9" s="1"/>
  <c r="L108" i="9"/>
  <c r="P108" i="9" s="1"/>
  <c r="V108" i="9"/>
  <c r="Z108" i="9" s="1"/>
  <c r="K108" i="9"/>
  <c r="O108" i="9" s="1"/>
  <c r="Z166" i="7"/>
  <c r="AA166" i="7"/>
  <c r="H93" i="9"/>
  <c r="R93" i="7"/>
  <c r="V93" i="7" s="1"/>
  <c r="U93" i="7"/>
  <c r="Y93" i="7" s="1"/>
  <c r="T93" i="7"/>
  <c r="S93" i="7"/>
  <c r="W93" i="7" s="1"/>
  <c r="Z47" i="7"/>
  <c r="AA47" i="7"/>
  <c r="Q45" i="9"/>
  <c r="L48" i="9"/>
  <c r="P48" i="9" s="1"/>
  <c r="V48" i="9"/>
  <c r="Z48" i="9" s="1"/>
  <c r="X48" i="9"/>
  <c r="N48" i="9"/>
  <c r="W48" i="9"/>
  <c r="U48" i="9"/>
  <c r="Y48" i="9" s="1"/>
  <c r="M48" i="9"/>
  <c r="K48" i="9"/>
  <c r="O48" i="9" s="1"/>
  <c r="Z39" i="7"/>
  <c r="AA39" i="7"/>
  <c r="AB39" i="7" s="1"/>
  <c r="AB173" i="7"/>
  <c r="U71" i="9"/>
  <c r="Y71" i="9" s="1"/>
  <c r="X71" i="9"/>
  <c r="W71" i="9"/>
  <c r="AA71" i="9" s="1"/>
  <c r="N71" i="9"/>
  <c r="R71" i="9" s="1"/>
  <c r="M71" i="9"/>
  <c r="Q71" i="9" s="1"/>
  <c r="V71" i="9"/>
  <c r="Z71" i="9" s="1"/>
  <c r="K71" i="9"/>
  <c r="O71" i="9" s="1"/>
  <c r="L71" i="9"/>
  <c r="P71" i="9" s="1"/>
  <c r="U177" i="9"/>
  <c r="Y177" i="9" s="1"/>
  <c r="M177" i="9"/>
  <c r="Q177" i="9" s="1"/>
  <c r="L177" i="9"/>
  <c r="P177" i="9" s="1"/>
  <c r="K177" i="9"/>
  <c r="O177" i="9" s="1"/>
  <c r="S177" i="9" s="1"/>
  <c r="X177" i="9"/>
  <c r="W177" i="9"/>
  <c r="AA177" i="9" s="1"/>
  <c r="V177" i="9"/>
  <c r="Z177" i="9" s="1"/>
  <c r="N177" i="9"/>
  <c r="R177" i="9" s="1"/>
  <c r="AB157" i="7"/>
  <c r="K144" i="9"/>
  <c r="O144" i="9" s="1"/>
  <c r="L144" i="9"/>
  <c r="P144" i="9" s="1"/>
  <c r="M144" i="9"/>
  <c r="Q144" i="9" s="1"/>
  <c r="W144" i="9"/>
  <c r="AA144" i="9" s="1"/>
  <c r="V144" i="9"/>
  <c r="Z144" i="9" s="1"/>
  <c r="N144" i="9"/>
  <c r="R144" i="9" s="1"/>
  <c r="U144" i="9"/>
  <c r="Y144" i="9" s="1"/>
  <c r="X144" i="9"/>
  <c r="AB144" i="9" s="1"/>
  <c r="Z27" i="7"/>
  <c r="AA27" i="7"/>
  <c r="AB27" i="7" s="1"/>
  <c r="U183" i="9"/>
  <c r="Y183" i="9" s="1"/>
  <c r="W183" i="9"/>
  <c r="V183" i="9"/>
  <c r="Z183" i="9" s="1"/>
  <c r="X183" i="9"/>
  <c r="N183" i="9"/>
  <c r="R183" i="9" s="1"/>
  <c r="M183" i="9"/>
  <c r="Q183" i="9" s="1"/>
  <c r="L183" i="9"/>
  <c r="P183" i="9" s="1"/>
  <c r="K183" i="9"/>
  <c r="O183" i="9" s="1"/>
  <c r="K99" i="9"/>
  <c r="O99" i="9" s="1"/>
  <c r="M99" i="9"/>
  <c r="Q99" i="9" s="1"/>
  <c r="L99" i="9"/>
  <c r="P99" i="9" s="1"/>
  <c r="N99" i="9"/>
  <c r="V99" i="9"/>
  <c r="Z99" i="9" s="1"/>
  <c r="W99" i="9"/>
  <c r="X99" i="9"/>
  <c r="AB99" i="9" s="1"/>
  <c r="U99" i="9"/>
  <c r="Y99" i="9" s="1"/>
  <c r="AA142" i="9"/>
  <c r="AA48" i="9"/>
  <c r="V59" i="10"/>
  <c r="Z121" i="7"/>
  <c r="AA121" i="7"/>
  <c r="AB121" i="7" s="1"/>
  <c r="I26" i="8"/>
  <c r="I27" i="8"/>
  <c r="I28" i="8" s="1"/>
  <c r="U65" i="9"/>
  <c r="Y65" i="9" s="1"/>
  <c r="N65" i="9"/>
  <c r="V65" i="9"/>
  <c r="Z65" i="9" s="1"/>
  <c r="M65" i="9"/>
  <c r="L65" i="9"/>
  <c r="P65" i="9" s="1"/>
  <c r="X65" i="9"/>
  <c r="K65" i="9"/>
  <c r="O65" i="9" s="1"/>
  <c r="W65" i="9"/>
  <c r="AA65" i="9" s="1"/>
  <c r="Z55" i="7"/>
  <c r="AA55" i="7"/>
  <c r="AB55" i="7" s="1"/>
  <c r="AC165" i="9"/>
  <c r="U21" i="9"/>
  <c r="Y21" i="9" s="1"/>
  <c r="X21" i="9"/>
  <c r="AB21" i="9" s="1"/>
  <c r="W21" i="9"/>
  <c r="V21" i="9"/>
  <c r="Z21" i="9" s="1"/>
  <c r="K21" i="9"/>
  <c r="O21" i="9" s="1"/>
  <c r="S21" i="9" s="1"/>
  <c r="N21" i="9"/>
  <c r="R21" i="9" s="1"/>
  <c r="M21" i="9"/>
  <c r="Q21" i="9" s="1"/>
  <c r="L21" i="9"/>
  <c r="P21" i="9" s="1"/>
  <c r="Z31" i="7"/>
  <c r="AA31" i="7"/>
  <c r="H141" i="9"/>
  <c r="S141" i="7"/>
  <c r="W141" i="7" s="1"/>
  <c r="R141" i="7"/>
  <c r="V141" i="7" s="1"/>
  <c r="T141" i="7"/>
  <c r="X141" i="7" s="1"/>
  <c r="U141" i="7"/>
  <c r="K11" i="9"/>
  <c r="O11" i="9" s="1"/>
  <c r="V11" i="9"/>
  <c r="Z11" i="9" s="1"/>
  <c r="N11" i="9"/>
  <c r="R11" i="9" s="1"/>
  <c r="U11" i="9"/>
  <c r="Y11" i="9" s="1"/>
  <c r="M11" i="9"/>
  <c r="Q11" i="9" s="1"/>
  <c r="L11" i="9"/>
  <c r="P11" i="9" s="1"/>
  <c r="X11" i="9"/>
  <c r="AB11" i="9" s="1"/>
  <c r="W11" i="9"/>
  <c r="AA11" i="9" s="1"/>
  <c r="AC140" i="9"/>
  <c r="Z72" i="7"/>
  <c r="AA72" i="7"/>
  <c r="AB72" i="7" s="1"/>
  <c r="I151" i="9"/>
  <c r="AD151" i="7"/>
  <c r="AE151" i="7" s="1"/>
  <c r="K59" i="9"/>
  <c r="O59" i="9" s="1"/>
  <c r="V59" i="9"/>
  <c r="Z59" i="9" s="1"/>
  <c r="N59" i="9"/>
  <c r="R59" i="9" s="1"/>
  <c r="X59" i="9"/>
  <c r="AB59" i="9" s="1"/>
  <c r="W59" i="9"/>
  <c r="AA59" i="9" s="1"/>
  <c r="U59" i="9"/>
  <c r="Y59" i="9" s="1"/>
  <c r="M59" i="9"/>
  <c r="Q59" i="9" s="1"/>
  <c r="L59" i="9"/>
  <c r="P59" i="9" s="1"/>
  <c r="S181" i="9"/>
  <c r="K109" i="9"/>
  <c r="O109" i="9" s="1"/>
  <c r="V109" i="9"/>
  <c r="Z109" i="9" s="1"/>
  <c r="L109" i="9"/>
  <c r="P109" i="9" s="1"/>
  <c r="N109" i="9"/>
  <c r="R109" i="9" s="1"/>
  <c r="M109" i="9"/>
  <c r="X109" i="9"/>
  <c r="W109" i="9"/>
  <c r="AA109" i="9" s="1"/>
  <c r="U109" i="9"/>
  <c r="Y109" i="9" s="1"/>
  <c r="H174" i="9"/>
  <c r="R174" i="7"/>
  <c r="V174" i="7" s="1"/>
  <c r="T174" i="7"/>
  <c r="S174" i="7"/>
  <c r="W174" i="7" s="1"/>
  <c r="U174" i="7"/>
  <c r="Y174" i="7" s="1"/>
  <c r="Z124" i="7"/>
  <c r="AA124" i="7"/>
  <c r="AB124" i="7" s="1"/>
  <c r="S159" i="9"/>
  <c r="Z35" i="7"/>
  <c r="AA35" i="7"/>
  <c r="N23" i="9"/>
  <c r="R23" i="9" s="1"/>
  <c r="W23" i="9"/>
  <c r="AA23" i="9" s="1"/>
  <c r="X23" i="9"/>
  <c r="AB23" i="9" s="1"/>
  <c r="M23" i="9"/>
  <c r="L23" i="9"/>
  <c r="P23" i="9" s="1"/>
  <c r="V23" i="9"/>
  <c r="Z23" i="9" s="1"/>
  <c r="K23" i="9"/>
  <c r="O23" i="9" s="1"/>
  <c r="U23" i="9"/>
  <c r="Y23" i="9" s="1"/>
  <c r="U166" i="9"/>
  <c r="Y166" i="9" s="1"/>
  <c r="N166" i="9"/>
  <c r="M166" i="9"/>
  <c r="Q166" i="9" s="1"/>
  <c r="K166" i="9"/>
  <c r="O166" i="9" s="1"/>
  <c r="S166" i="9" s="1"/>
  <c r="V166" i="9"/>
  <c r="Z166" i="9" s="1"/>
  <c r="W166" i="9"/>
  <c r="AA166" i="9" s="1"/>
  <c r="X166" i="9"/>
  <c r="L166" i="9"/>
  <c r="P166" i="9" s="1"/>
  <c r="AA28" i="9"/>
  <c r="R45" i="9"/>
  <c r="H171" i="9"/>
  <c r="R171" i="7"/>
  <c r="V171" i="7" s="1"/>
  <c r="S171" i="7"/>
  <c r="W171" i="7" s="1"/>
  <c r="U171" i="7"/>
  <c r="T171" i="7"/>
  <c r="Z105" i="7"/>
  <c r="AA105" i="7"/>
  <c r="M94" i="9"/>
  <c r="Q94" i="9" s="1"/>
  <c r="K94" i="9"/>
  <c r="O94" i="9" s="1"/>
  <c r="L94" i="9"/>
  <c r="P94" i="9" s="1"/>
  <c r="N94" i="9"/>
  <c r="V94" i="9"/>
  <c r="Z94" i="9" s="1"/>
  <c r="W94" i="9"/>
  <c r="AA94" i="9" s="1"/>
  <c r="U94" i="9"/>
  <c r="Y94" i="9" s="1"/>
  <c r="AC94" i="9" s="1"/>
  <c r="X94" i="9"/>
  <c r="AB94" i="9" s="1"/>
  <c r="I138" i="9"/>
  <c r="AD138" i="7"/>
  <c r="AE138" i="7" s="1"/>
  <c r="R29" i="9"/>
  <c r="AC155" i="9"/>
  <c r="Z46" i="7"/>
  <c r="AA46" i="7"/>
  <c r="AB46" i="7" s="1"/>
  <c r="W107" i="9"/>
  <c r="AA107" i="9" s="1"/>
  <c r="N107" i="9"/>
  <c r="R107" i="9" s="1"/>
  <c r="X107" i="9"/>
  <c r="L107" i="9"/>
  <c r="P107" i="9" s="1"/>
  <c r="K107" i="9"/>
  <c r="O107" i="9" s="1"/>
  <c r="S107" i="9" s="1"/>
  <c r="M107" i="9"/>
  <c r="Q107" i="9" s="1"/>
  <c r="V107" i="9"/>
  <c r="Z107" i="9" s="1"/>
  <c r="U107" i="9"/>
  <c r="Y107" i="9" s="1"/>
  <c r="Z146" i="7"/>
  <c r="AA146" i="7"/>
  <c r="AB146" i="7" s="1"/>
  <c r="Z38" i="7"/>
  <c r="AA38" i="7"/>
  <c r="AB38" i="7" s="1"/>
  <c r="S175" i="9"/>
  <c r="Z13" i="7"/>
  <c r="AA13" i="7"/>
  <c r="AB13" i="7" s="1"/>
  <c r="W103" i="9"/>
  <c r="AA103" i="9" s="1"/>
  <c r="V103" i="9"/>
  <c r="Z103" i="9" s="1"/>
  <c r="U103" i="9"/>
  <c r="Y103" i="9" s="1"/>
  <c r="AC103" i="9" s="1"/>
  <c r="L103" i="9"/>
  <c r="P103" i="9" s="1"/>
  <c r="K103" i="9"/>
  <c r="O103" i="9" s="1"/>
  <c r="N103" i="9"/>
  <c r="R103" i="9" s="1"/>
  <c r="M103" i="9"/>
  <c r="X103" i="9"/>
  <c r="AB103" i="9" s="1"/>
  <c r="AB48" i="9"/>
  <c r="Z61" i="7"/>
  <c r="AA61" i="7"/>
  <c r="AB61" i="7" s="1"/>
  <c r="Z127" i="7"/>
  <c r="AA127" i="7"/>
  <c r="AB127" i="7" s="1"/>
  <c r="AC151" i="9"/>
  <c r="M42" i="9"/>
  <c r="Q42" i="9" s="1"/>
  <c r="K42" i="9"/>
  <c r="O42" i="9" s="1"/>
  <c r="N42" i="9"/>
  <c r="R42" i="9" s="1"/>
  <c r="L42" i="9"/>
  <c r="P42" i="9" s="1"/>
  <c r="X42" i="9"/>
  <c r="AB42" i="9" s="1"/>
  <c r="U42" i="9"/>
  <c r="Y42" i="9" s="1"/>
  <c r="AC42" i="9" s="1"/>
  <c r="W42" i="9"/>
  <c r="AA42" i="9" s="1"/>
  <c r="V42" i="9"/>
  <c r="Z42" i="9" s="1"/>
  <c r="Q65" i="9"/>
  <c r="Z53" i="7"/>
  <c r="AA53" i="7"/>
  <c r="H96" i="9"/>
  <c r="S96" i="7"/>
  <c r="W96" i="7" s="1"/>
  <c r="R96" i="7"/>
  <c r="V96" i="7" s="1"/>
  <c r="U96" i="7"/>
  <c r="Y96" i="7" s="1"/>
  <c r="T96" i="7"/>
  <c r="X96" i="7" s="1"/>
  <c r="S63" i="9"/>
  <c r="AD63" i="9" s="1"/>
  <c r="AE63" i="9" s="1"/>
  <c r="X31" i="9"/>
  <c r="AB31" i="9" s="1"/>
  <c r="V31" i="9"/>
  <c r="Z31" i="9" s="1"/>
  <c r="U31" i="9"/>
  <c r="Y31" i="9" s="1"/>
  <c r="W31" i="9"/>
  <c r="M31" i="9"/>
  <c r="Q31" i="9" s="1"/>
  <c r="L31" i="9"/>
  <c r="P31" i="9" s="1"/>
  <c r="K31" i="9"/>
  <c r="O31" i="9" s="1"/>
  <c r="N31" i="9"/>
  <c r="R31" i="9" s="1"/>
  <c r="X18" i="9"/>
  <c r="AB18" i="9" s="1"/>
  <c r="M18" i="9"/>
  <c r="Q18" i="9" s="1"/>
  <c r="W18" i="9"/>
  <c r="AA18" i="9" s="1"/>
  <c r="K18" i="9"/>
  <c r="O18" i="9" s="1"/>
  <c r="V18" i="9"/>
  <c r="Z18" i="9" s="1"/>
  <c r="N18" i="9"/>
  <c r="R18" i="9" s="1"/>
  <c r="U18" i="9"/>
  <c r="Y18" i="9" s="1"/>
  <c r="L18" i="9"/>
  <c r="P18" i="9" s="1"/>
  <c r="Z156" i="7"/>
  <c r="AA156" i="7"/>
  <c r="AB156" i="7" s="1"/>
  <c r="Z134" i="7"/>
  <c r="AA134" i="7"/>
  <c r="Z37" i="7"/>
  <c r="AA37" i="7"/>
  <c r="AB37" i="7" s="1"/>
  <c r="H152" i="9"/>
  <c r="R152" i="7"/>
  <c r="V152" i="7" s="1"/>
  <c r="T152" i="7"/>
  <c r="X152" i="7" s="1"/>
  <c r="S152" i="7"/>
  <c r="W152" i="7" s="1"/>
  <c r="U152" i="7"/>
  <c r="Y152" i="7" s="1"/>
  <c r="M72" i="9"/>
  <c r="Q72" i="9" s="1"/>
  <c r="X72" i="9"/>
  <c r="AB72" i="9" s="1"/>
  <c r="W72" i="9"/>
  <c r="V72" i="9"/>
  <c r="Z72" i="9" s="1"/>
  <c r="U72" i="9"/>
  <c r="Y72" i="9" s="1"/>
  <c r="N72" i="9"/>
  <c r="R72" i="9" s="1"/>
  <c r="L72" i="9"/>
  <c r="P72" i="9" s="1"/>
  <c r="K72" i="9"/>
  <c r="O72" i="9" s="1"/>
  <c r="Z25" i="7"/>
  <c r="AA25" i="7"/>
  <c r="AB25" i="7" s="1"/>
  <c r="Z129" i="7"/>
  <c r="AA129" i="7"/>
  <c r="Z106" i="7"/>
  <c r="AA106" i="7"/>
  <c r="AB106" i="7" s="1"/>
  <c r="S164" i="9"/>
  <c r="Z15" i="7"/>
  <c r="AA15" i="7"/>
  <c r="Z104" i="7"/>
  <c r="AA104" i="7"/>
  <c r="AB104" i="7" s="1"/>
  <c r="X33" i="9"/>
  <c r="AB33" i="9" s="1"/>
  <c r="L33" i="9"/>
  <c r="P33" i="9" s="1"/>
  <c r="W33" i="9"/>
  <c r="AA33" i="9" s="1"/>
  <c r="V33" i="9"/>
  <c r="Z33" i="9" s="1"/>
  <c r="K33" i="9"/>
  <c r="O33" i="9" s="1"/>
  <c r="N33" i="9"/>
  <c r="R33" i="9" s="1"/>
  <c r="U33" i="9"/>
  <c r="Y33" i="9" s="1"/>
  <c r="M33" i="9"/>
  <c r="Q33" i="9" s="1"/>
  <c r="Z9" i="7"/>
  <c r="AA9" i="7"/>
  <c r="AB9" i="7" s="1"/>
  <c r="R166" i="9"/>
  <c r="Z51" i="7"/>
  <c r="AA51" i="7"/>
  <c r="AB140" i="7"/>
  <c r="W43" i="9"/>
  <c r="AA43" i="9" s="1"/>
  <c r="N43" i="9"/>
  <c r="R43" i="9" s="1"/>
  <c r="K43" i="9"/>
  <c r="O43" i="9" s="1"/>
  <c r="M43" i="9"/>
  <c r="Q43" i="9" s="1"/>
  <c r="L43" i="9"/>
  <c r="P43" i="9" s="1"/>
  <c r="X43" i="9"/>
  <c r="AB43" i="9" s="1"/>
  <c r="V43" i="9"/>
  <c r="Z43" i="9" s="1"/>
  <c r="U43" i="9"/>
  <c r="Y43" i="9" s="1"/>
  <c r="AB107" i="9"/>
  <c r="AB28" i="9"/>
  <c r="Z34" i="7"/>
  <c r="AA34" i="7"/>
  <c r="AB34" i="7" s="1"/>
  <c r="L39" i="9"/>
  <c r="P39" i="9" s="1"/>
  <c r="N39" i="9"/>
  <c r="R39" i="9" s="1"/>
  <c r="X39" i="9"/>
  <c r="AB39" i="9" s="1"/>
  <c r="M39" i="9"/>
  <c r="Q39" i="9" s="1"/>
  <c r="K39" i="9"/>
  <c r="O39" i="9" s="1"/>
  <c r="S39" i="9" s="1"/>
  <c r="V39" i="9"/>
  <c r="Z39" i="9" s="1"/>
  <c r="U39" i="9"/>
  <c r="Y39" i="9" s="1"/>
  <c r="W39" i="9"/>
  <c r="AA39" i="9" s="1"/>
  <c r="AB63" i="7"/>
  <c r="H184" i="9"/>
  <c r="R184" i="7"/>
  <c r="V184" i="7" s="1"/>
  <c r="T184" i="7"/>
  <c r="X184" i="7" s="1"/>
  <c r="S184" i="7"/>
  <c r="W184" i="7" s="1"/>
  <c r="U184" i="7"/>
  <c r="Y184" i="7" s="1"/>
  <c r="S138" i="9"/>
  <c r="AD138" i="9" s="1"/>
  <c r="AE138" i="9" s="1"/>
  <c r="AG138" i="9" s="1"/>
  <c r="Z64" i="7"/>
  <c r="AA64" i="7"/>
  <c r="U136" i="9"/>
  <c r="Y136" i="9" s="1"/>
  <c r="W136" i="9"/>
  <c r="AA136" i="9" s="1"/>
  <c r="L136" i="9"/>
  <c r="P136" i="9" s="1"/>
  <c r="V136" i="9"/>
  <c r="Z136" i="9" s="1"/>
  <c r="K136" i="9"/>
  <c r="O136" i="9" s="1"/>
  <c r="X136" i="9"/>
  <c r="AB136" i="9" s="1"/>
  <c r="N136" i="9"/>
  <c r="R136" i="9" s="1"/>
  <c r="M136" i="9"/>
  <c r="Q136" i="9" s="1"/>
  <c r="K27" i="9"/>
  <c r="O27" i="9" s="1"/>
  <c r="N27" i="9"/>
  <c r="R27" i="9" s="1"/>
  <c r="M27" i="9"/>
  <c r="Q27" i="9" s="1"/>
  <c r="W27" i="9"/>
  <c r="AA27" i="9" s="1"/>
  <c r="L27" i="9"/>
  <c r="P27" i="9" s="1"/>
  <c r="U27" i="9"/>
  <c r="Y27" i="9" s="1"/>
  <c r="X27" i="9"/>
  <c r="AB27" i="9" s="1"/>
  <c r="V27" i="9"/>
  <c r="Z27" i="9" s="1"/>
  <c r="Z102" i="7"/>
  <c r="AA102" i="7"/>
  <c r="AB102" i="7" s="1"/>
  <c r="Z114" i="7"/>
  <c r="AA114" i="7"/>
  <c r="H87" i="9"/>
  <c r="R87" i="7"/>
  <c r="V87" i="7" s="1"/>
  <c r="T87" i="7"/>
  <c r="X87" i="7" s="1"/>
  <c r="S87" i="7"/>
  <c r="W87" i="7" s="1"/>
  <c r="U87" i="7"/>
  <c r="Y87" i="7" s="1"/>
  <c r="Z110" i="7"/>
  <c r="AA110" i="7"/>
  <c r="K38" i="9"/>
  <c r="O38" i="9" s="1"/>
  <c r="N38" i="9"/>
  <c r="R38" i="9" s="1"/>
  <c r="L38" i="9"/>
  <c r="P38" i="9" s="1"/>
  <c r="X38" i="9"/>
  <c r="AB38" i="9" s="1"/>
  <c r="W38" i="9"/>
  <c r="AA38" i="9" s="1"/>
  <c r="V38" i="9"/>
  <c r="Z38" i="9" s="1"/>
  <c r="U38" i="9"/>
  <c r="Y38" i="9" s="1"/>
  <c r="M38" i="9"/>
  <c r="Q38" i="9" s="1"/>
  <c r="AC175" i="9"/>
  <c r="L69" i="9"/>
  <c r="P69" i="9" s="1"/>
  <c r="X69" i="9"/>
  <c r="AB69" i="9" s="1"/>
  <c r="U69" i="9"/>
  <c r="Y69" i="9" s="1"/>
  <c r="M69" i="9"/>
  <c r="Q69" i="9" s="1"/>
  <c r="W69" i="9"/>
  <c r="AA69" i="9" s="1"/>
  <c r="V69" i="9"/>
  <c r="Z69" i="9" s="1"/>
  <c r="N69" i="9"/>
  <c r="R69" i="9" s="1"/>
  <c r="K69" i="9"/>
  <c r="O69" i="9" s="1"/>
  <c r="Z178" i="7"/>
  <c r="AA178" i="7"/>
  <c r="AB178" i="7" s="1"/>
  <c r="W61" i="9"/>
  <c r="AA61" i="9" s="1"/>
  <c r="X61" i="9"/>
  <c r="AB61" i="9" s="1"/>
  <c r="V61" i="9"/>
  <c r="Z61" i="9" s="1"/>
  <c r="L61" i="9"/>
  <c r="P61" i="9" s="1"/>
  <c r="U61" i="9"/>
  <c r="Y61" i="9" s="1"/>
  <c r="AC61" i="9" s="1"/>
  <c r="M61" i="9"/>
  <c r="Q61" i="9" s="1"/>
  <c r="N61" i="9"/>
  <c r="R61" i="9" s="1"/>
  <c r="K61" i="9"/>
  <c r="O61" i="9" s="1"/>
  <c r="X96" i="10"/>
  <c r="W95" i="10" s="1"/>
  <c r="V94" i="10" s="1"/>
  <c r="U93" i="10" s="1"/>
  <c r="T88" i="10"/>
  <c r="W92" i="10"/>
  <c r="V91" i="10" s="1"/>
  <c r="U90" i="10" s="1"/>
  <c r="T89" i="10" s="1"/>
  <c r="E26" i="8"/>
  <c r="E27" i="8"/>
  <c r="Z83" i="7"/>
  <c r="AA83" i="7"/>
  <c r="AB83" i="7" s="1"/>
  <c r="Z40" i="7"/>
  <c r="AA40" i="7"/>
  <c r="AB65" i="9"/>
  <c r="Z30" i="7"/>
  <c r="AA30" i="7"/>
  <c r="AB159" i="7"/>
  <c r="N121" i="9"/>
  <c r="R121" i="9" s="1"/>
  <c r="V121" i="9"/>
  <c r="Z121" i="9" s="1"/>
  <c r="M121" i="9"/>
  <c r="Q121" i="9" s="1"/>
  <c r="U121" i="9"/>
  <c r="Y121" i="9" s="1"/>
  <c r="L121" i="9"/>
  <c r="P121" i="9" s="1"/>
  <c r="K121" i="9"/>
  <c r="O121" i="9" s="1"/>
  <c r="S121" i="9" s="1"/>
  <c r="X121" i="9"/>
  <c r="W121" i="9"/>
  <c r="AA121" i="9" s="1"/>
  <c r="U55" i="9"/>
  <c r="Y55" i="9" s="1"/>
  <c r="X55" i="9"/>
  <c r="AB55" i="9" s="1"/>
  <c r="W55" i="9"/>
  <c r="AA55" i="9" s="1"/>
  <c r="V55" i="9"/>
  <c r="Z55" i="9" s="1"/>
  <c r="M55" i="9"/>
  <c r="L55" i="9"/>
  <c r="P55" i="9" s="1"/>
  <c r="N55" i="9"/>
  <c r="R55" i="9" s="1"/>
  <c r="K55" i="9"/>
  <c r="O55" i="9" s="1"/>
  <c r="S165" i="9"/>
  <c r="AD165" i="9" s="1"/>
  <c r="AE165" i="9" s="1"/>
  <c r="AB175" i="7"/>
  <c r="X53" i="9"/>
  <c r="AB53" i="9" s="1"/>
  <c r="L53" i="9"/>
  <c r="P53" i="9" s="1"/>
  <c r="M53" i="9"/>
  <c r="Q53" i="9" s="1"/>
  <c r="U53" i="9"/>
  <c r="Y53" i="9" s="1"/>
  <c r="AC53" i="9" s="1"/>
  <c r="N53" i="9"/>
  <c r="R53" i="9" s="1"/>
  <c r="W53" i="9"/>
  <c r="AA53" i="9" s="1"/>
  <c r="K53" i="9"/>
  <c r="O53" i="9" s="1"/>
  <c r="V53" i="9"/>
  <c r="Z53" i="9" s="1"/>
  <c r="AC63" i="9"/>
  <c r="N161" i="9"/>
  <c r="R161" i="9" s="1"/>
  <c r="M161" i="9"/>
  <c r="Q161" i="9" s="1"/>
  <c r="K161" i="9"/>
  <c r="O161" i="9" s="1"/>
  <c r="X161" i="9"/>
  <c r="AB161" i="9" s="1"/>
  <c r="V161" i="9"/>
  <c r="Z161" i="9" s="1"/>
  <c r="U161" i="9"/>
  <c r="Y161" i="9" s="1"/>
  <c r="W161" i="9"/>
  <c r="L161" i="9"/>
  <c r="P161" i="9" s="1"/>
  <c r="Y141" i="7"/>
  <c r="S140" i="9"/>
  <c r="AD140" i="9" s="1"/>
  <c r="AE140" i="9" s="1"/>
  <c r="H133" i="9"/>
  <c r="R133" i="7"/>
  <c r="V133" i="7" s="1"/>
  <c r="T133" i="7"/>
  <c r="X133" i="7" s="1"/>
  <c r="U133" i="7"/>
  <c r="Y133" i="7" s="1"/>
  <c r="S133" i="7"/>
  <c r="W133" i="7" s="1"/>
  <c r="H185" i="9"/>
  <c r="S185" i="7"/>
  <c r="W185" i="7" s="1"/>
  <c r="T185" i="7"/>
  <c r="X185" i="7" s="1"/>
  <c r="R185" i="7"/>
  <c r="V185" i="7" s="1"/>
  <c r="U185" i="7"/>
  <c r="Y185" i="7" s="1"/>
  <c r="H77" i="9"/>
  <c r="U77" i="7"/>
  <c r="Y77" i="7" s="1"/>
  <c r="T77" i="7"/>
  <c r="X77" i="7" s="1"/>
  <c r="S77" i="7"/>
  <c r="W77" i="7" s="1"/>
  <c r="R77" i="7"/>
  <c r="V77" i="7" s="1"/>
  <c r="H88" i="9"/>
  <c r="U88" i="7"/>
  <c r="Y88" i="7" s="1"/>
  <c r="R88" i="7"/>
  <c r="V88" i="7" s="1"/>
  <c r="S88" i="7"/>
  <c r="W88" i="7" s="1"/>
  <c r="T88" i="7"/>
  <c r="X88" i="7" s="1"/>
  <c r="V106" i="9"/>
  <c r="Z106" i="9" s="1"/>
  <c r="U106" i="9"/>
  <c r="Y106" i="9" s="1"/>
  <c r="N106" i="9"/>
  <c r="R106" i="9" s="1"/>
  <c r="W106" i="9"/>
  <c r="AA106" i="9" s="1"/>
  <c r="L106" i="9"/>
  <c r="P106" i="9" s="1"/>
  <c r="X106" i="9"/>
  <c r="AB106" i="9" s="1"/>
  <c r="M106" i="9"/>
  <c r="Q106" i="9" s="1"/>
  <c r="K106" i="9"/>
  <c r="O106" i="9" s="1"/>
  <c r="H176" i="9"/>
  <c r="R176" i="7"/>
  <c r="V176" i="7" s="1"/>
  <c r="U176" i="7"/>
  <c r="Y176" i="7" s="1"/>
  <c r="S176" i="7"/>
  <c r="W176" i="7" s="1"/>
  <c r="T176" i="7"/>
  <c r="X176" i="7" s="1"/>
  <c r="W15" i="9"/>
  <c r="AA15" i="9" s="1"/>
  <c r="X15" i="9"/>
  <c r="AB15" i="9" s="1"/>
  <c r="V15" i="9"/>
  <c r="Z15" i="9" s="1"/>
  <c r="U15" i="9"/>
  <c r="Y15" i="9" s="1"/>
  <c r="M15" i="9"/>
  <c r="N15" i="9"/>
  <c r="L15" i="9"/>
  <c r="P15" i="9" s="1"/>
  <c r="K15" i="9"/>
  <c r="O15" i="9" s="1"/>
  <c r="V104" i="9"/>
  <c r="Z104" i="9" s="1"/>
  <c r="W104" i="9"/>
  <c r="AA104" i="9" s="1"/>
  <c r="U104" i="9"/>
  <c r="Y104" i="9" s="1"/>
  <c r="L104" i="9"/>
  <c r="P104" i="9" s="1"/>
  <c r="K104" i="9"/>
  <c r="O104" i="9" s="1"/>
  <c r="X104" i="9"/>
  <c r="AB104" i="9" s="1"/>
  <c r="N104" i="9"/>
  <c r="R104" i="9" s="1"/>
  <c r="M104" i="9"/>
  <c r="Q104" i="9" s="1"/>
  <c r="X44" i="9"/>
  <c r="AB44" i="9" s="1"/>
  <c r="U44" i="9"/>
  <c r="Y44" i="9" s="1"/>
  <c r="N44" i="9"/>
  <c r="R44" i="9" s="1"/>
  <c r="M44" i="9"/>
  <c r="Q44" i="9" s="1"/>
  <c r="W44" i="9"/>
  <c r="AA44" i="9" s="1"/>
  <c r="L44" i="9"/>
  <c r="P44" i="9" s="1"/>
  <c r="V44" i="9"/>
  <c r="Z44" i="9" s="1"/>
  <c r="K44" i="9"/>
  <c r="O44" i="9" s="1"/>
  <c r="K148" i="9"/>
  <c r="O148" i="9" s="1"/>
  <c r="M148" i="9"/>
  <c r="L148" i="9"/>
  <c r="P148" i="9" s="1"/>
  <c r="N148" i="9"/>
  <c r="R148" i="9" s="1"/>
  <c r="W148" i="9"/>
  <c r="AA148" i="9" s="1"/>
  <c r="U148" i="9"/>
  <c r="Y148" i="9" s="1"/>
  <c r="V148" i="9"/>
  <c r="Z148" i="9" s="1"/>
  <c r="X148" i="9"/>
  <c r="AB148" i="9" s="1"/>
  <c r="Z116" i="7"/>
  <c r="AA116" i="7"/>
  <c r="AB116" i="7" s="1"/>
  <c r="N35" i="9"/>
  <c r="M35" i="9"/>
  <c r="Q35" i="9" s="1"/>
  <c r="V35" i="9"/>
  <c r="Z35" i="9" s="1"/>
  <c r="U35" i="9"/>
  <c r="Y35" i="9" s="1"/>
  <c r="K35" i="9"/>
  <c r="O35" i="9" s="1"/>
  <c r="L35" i="9"/>
  <c r="P35" i="9" s="1"/>
  <c r="X35" i="9"/>
  <c r="AB35" i="9" s="1"/>
  <c r="W35" i="9"/>
  <c r="AA35" i="9" s="1"/>
  <c r="L51" i="9"/>
  <c r="P51" i="9" s="1"/>
  <c r="V51" i="9"/>
  <c r="Z51" i="9" s="1"/>
  <c r="N51" i="9"/>
  <c r="U51" i="9"/>
  <c r="Y51" i="9" s="1"/>
  <c r="M51" i="9"/>
  <c r="X51" i="9"/>
  <c r="AB51" i="9" s="1"/>
  <c r="K51" i="9"/>
  <c r="O51" i="9" s="1"/>
  <c r="W51" i="9"/>
  <c r="AA51" i="9" s="1"/>
  <c r="Z8" i="7"/>
  <c r="AA8" i="7"/>
  <c r="AB8" i="7" s="1"/>
  <c r="H78" i="9"/>
  <c r="U78" i="7"/>
  <c r="Y78" i="7" s="1"/>
  <c r="R78" i="7"/>
  <c r="V78" i="7" s="1"/>
  <c r="T78" i="7"/>
  <c r="S78" i="7"/>
  <c r="W78" i="7" s="1"/>
  <c r="W47" i="9"/>
  <c r="AA47" i="9" s="1"/>
  <c r="V47" i="9"/>
  <c r="Z47" i="9" s="1"/>
  <c r="X47" i="9"/>
  <c r="U47" i="9"/>
  <c r="Y47" i="9" s="1"/>
  <c r="M47" i="9"/>
  <c r="Q47" i="9" s="1"/>
  <c r="L47" i="9"/>
  <c r="P47" i="9" s="1"/>
  <c r="K47" i="9"/>
  <c r="O47" i="9" s="1"/>
  <c r="N47" i="9"/>
  <c r="I155" i="9"/>
  <c r="AD155" i="7"/>
  <c r="AE155" i="7" s="1"/>
  <c r="AC138" i="9"/>
  <c r="U5" i="9"/>
  <c r="Y5" i="9" s="1"/>
  <c r="M5" i="9"/>
  <c r="Q5" i="9" s="1"/>
  <c r="X5" i="9"/>
  <c r="AB5" i="9" s="1"/>
  <c r="L5" i="9"/>
  <c r="P5" i="9" s="1"/>
  <c r="V5" i="9"/>
  <c r="Z5" i="9" s="1"/>
  <c r="W5" i="9"/>
  <c r="AA5" i="9" s="1"/>
  <c r="K5" i="9"/>
  <c r="O5" i="9" s="1"/>
  <c r="N5" i="9"/>
  <c r="R5" i="9" s="1"/>
  <c r="N105" i="9"/>
  <c r="R105" i="9" s="1"/>
  <c r="W105" i="9"/>
  <c r="AA105" i="9" s="1"/>
  <c r="M105" i="9"/>
  <c r="Q105" i="9" s="1"/>
  <c r="V105" i="9"/>
  <c r="Z105" i="9" s="1"/>
  <c r="U105" i="9"/>
  <c r="Y105" i="9" s="1"/>
  <c r="X105" i="9"/>
  <c r="AB105" i="9" s="1"/>
  <c r="L105" i="9"/>
  <c r="P105" i="9" s="1"/>
  <c r="K105" i="9"/>
  <c r="O105" i="9" s="1"/>
  <c r="H92" i="9"/>
  <c r="S92" i="7"/>
  <c r="W92" i="7" s="1"/>
  <c r="U92" i="7"/>
  <c r="Y92" i="7" s="1"/>
  <c r="T92" i="7"/>
  <c r="X92" i="7" s="1"/>
  <c r="R92" i="7"/>
  <c r="V92" i="7" s="1"/>
  <c r="Z132" i="7"/>
  <c r="AA132" i="7"/>
  <c r="AB132" i="7" s="1"/>
  <c r="Z17" i="7"/>
  <c r="AA17" i="7"/>
  <c r="AB17" i="7" s="1"/>
  <c r="H84" i="9"/>
  <c r="R84" i="7"/>
  <c r="V84" i="7" s="1"/>
  <c r="S84" i="7"/>
  <c r="W84" i="7" s="1"/>
  <c r="U84" i="7"/>
  <c r="Y84" i="7" s="1"/>
  <c r="T84" i="7"/>
  <c r="X84" i="7" s="1"/>
  <c r="L115" i="9"/>
  <c r="P115" i="9" s="1"/>
  <c r="W115" i="9"/>
  <c r="AA115" i="9" s="1"/>
  <c r="M115" i="9"/>
  <c r="Q115" i="9" s="1"/>
  <c r="U115" i="9"/>
  <c r="Y115" i="9" s="1"/>
  <c r="AC115" i="9" s="1"/>
  <c r="K115" i="9"/>
  <c r="O115" i="9" s="1"/>
  <c r="S115" i="9" s="1"/>
  <c r="N115" i="9"/>
  <c r="R115" i="9" s="1"/>
  <c r="V115" i="9"/>
  <c r="Z115" i="9" s="1"/>
  <c r="X115" i="9"/>
  <c r="AB115" i="9" s="1"/>
  <c r="S155" i="9"/>
  <c r="Z49" i="7"/>
  <c r="AA49" i="7"/>
  <c r="U146" i="9"/>
  <c r="Y146" i="9" s="1"/>
  <c r="L146" i="9"/>
  <c r="P146" i="9" s="1"/>
  <c r="N146" i="9"/>
  <c r="R146" i="9" s="1"/>
  <c r="X146" i="9"/>
  <c r="AB146" i="9" s="1"/>
  <c r="W146" i="9"/>
  <c r="AA146" i="9" s="1"/>
  <c r="M146" i="9"/>
  <c r="Q146" i="9" s="1"/>
  <c r="K146" i="9"/>
  <c r="O146" i="9" s="1"/>
  <c r="S146" i="9" s="1"/>
  <c r="V146" i="9"/>
  <c r="Z146" i="9" s="1"/>
  <c r="Q142" i="9"/>
  <c r="Z100" i="7"/>
  <c r="AA100" i="7"/>
  <c r="Z113" i="7"/>
  <c r="AA113" i="7"/>
  <c r="AB113" i="7" s="1"/>
  <c r="W178" i="9"/>
  <c r="AA178" i="9" s="1"/>
  <c r="X178" i="9"/>
  <c r="AB178" i="9" s="1"/>
  <c r="V178" i="9"/>
  <c r="Z178" i="9" s="1"/>
  <c r="N178" i="9"/>
  <c r="R178" i="9" s="1"/>
  <c r="U178" i="9"/>
  <c r="Y178" i="9" s="1"/>
  <c r="M178" i="9"/>
  <c r="Q178" i="9" s="1"/>
  <c r="L178" i="9"/>
  <c r="P178" i="9" s="1"/>
  <c r="K178" i="9"/>
  <c r="O178" i="9" s="1"/>
  <c r="S178" i="9" s="1"/>
  <c r="Z118" i="7"/>
  <c r="AA118" i="7"/>
  <c r="V92" i="10"/>
  <c r="U91" i="10" s="1"/>
  <c r="T90" i="10" s="1"/>
  <c r="S89" i="10" s="1"/>
  <c r="X78" i="10"/>
  <c r="S154" i="9"/>
  <c r="AD154" i="9" s="1"/>
  <c r="AE154" i="9" s="1"/>
  <c r="X126" i="9"/>
  <c r="AB126" i="9" s="1"/>
  <c r="V126" i="9"/>
  <c r="Z126" i="9" s="1"/>
  <c r="N126" i="9"/>
  <c r="W126" i="9"/>
  <c r="AA126" i="9" s="1"/>
  <c r="M126" i="9"/>
  <c r="L126" i="9"/>
  <c r="P126" i="9" s="1"/>
  <c r="U126" i="9"/>
  <c r="Y126" i="9" s="1"/>
  <c r="K126" i="9"/>
  <c r="O126" i="9" s="1"/>
  <c r="Z41" i="7"/>
  <c r="AA41" i="7"/>
  <c r="U130" i="9"/>
  <c r="Y130" i="9" s="1"/>
  <c r="W130" i="9"/>
  <c r="L130" i="9"/>
  <c r="P130" i="9" s="1"/>
  <c r="V130" i="9"/>
  <c r="Z130" i="9" s="1"/>
  <c r="X130" i="9"/>
  <c r="AB130" i="9" s="1"/>
  <c r="K130" i="9"/>
  <c r="O130" i="9" s="1"/>
  <c r="N130" i="9"/>
  <c r="R130" i="9" s="1"/>
  <c r="M130" i="9"/>
  <c r="Q130" i="9" s="1"/>
  <c r="N127" i="9"/>
  <c r="R127" i="9" s="1"/>
  <c r="L127" i="9"/>
  <c r="P127" i="9" s="1"/>
  <c r="K127" i="9"/>
  <c r="O127" i="9" s="1"/>
  <c r="M127" i="9"/>
  <c r="Q127" i="9" s="1"/>
  <c r="U127" i="9"/>
  <c r="Y127" i="9" s="1"/>
  <c r="W127" i="9"/>
  <c r="AA127" i="9" s="1"/>
  <c r="X127" i="9"/>
  <c r="AB127" i="9" s="1"/>
  <c r="V127" i="9"/>
  <c r="Z127" i="9" s="1"/>
  <c r="X101" i="9"/>
  <c r="AB101" i="9" s="1"/>
  <c r="U101" i="9"/>
  <c r="Y101" i="9" s="1"/>
  <c r="V101" i="9"/>
  <c r="Z101" i="9" s="1"/>
  <c r="L101" i="9"/>
  <c r="P101" i="9" s="1"/>
  <c r="W101" i="9"/>
  <c r="AA101" i="9" s="1"/>
  <c r="N101" i="9"/>
  <c r="M101" i="9"/>
  <c r="Q101" i="9" s="1"/>
  <c r="K101" i="9"/>
  <c r="O101" i="9" s="1"/>
  <c r="Z12" i="7"/>
  <c r="AA12" i="7"/>
  <c r="Z24" i="7"/>
  <c r="AA24" i="7"/>
  <c r="I128" i="9"/>
  <c r="AD128" i="7"/>
  <c r="AE128" i="7" s="1"/>
  <c r="Z112" i="7"/>
  <c r="AA112" i="7"/>
  <c r="AB112" i="7" s="1"/>
  <c r="X156" i="9"/>
  <c r="W156" i="9"/>
  <c r="AA156" i="9" s="1"/>
  <c r="U156" i="9"/>
  <c r="Y156" i="9" s="1"/>
  <c r="N156" i="9"/>
  <c r="R156" i="9" s="1"/>
  <c r="K156" i="9"/>
  <c r="O156" i="9" s="1"/>
  <c r="L156" i="9"/>
  <c r="P156" i="9" s="1"/>
  <c r="V156" i="9"/>
  <c r="Z156" i="9" s="1"/>
  <c r="M156" i="9"/>
  <c r="Q156" i="9" s="1"/>
  <c r="L134" i="9"/>
  <c r="P134" i="9" s="1"/>
  <c r="N134" i="9"/>
  <c r="M134" i="9"/>
  <c r="Q134" i="9" s="1"/>
  <c r="X134" i="9"/>
  <c r="AB134" i="9" s="1"/>
  <c r="W134" i="9"/>
  <c r="K134" i="9"/>
  <c r="O134" i="9" s="1"/>
  <c r="S134" i="9" s="1"/>
  <c r="V134" i="9"/>
  <c r="Z134" i="9" s="1"/>
  <c r="U134" i="9"/>
  <c r="Y134" i="9" s="1"/>
  <c r="H75" i="9"/>
  <c r="S75" i="7"/>
  <c r="W75" i="7" s="1"/>
  <c r="U75" i="7"/>
  <c r="Y75" i="7" s="1"/>
  <c r="R75" i="7"/>
  <c r="V75" i="7" s="1"/>
  <c r="T75" i="7"/>
  <c r="X75" i="7" s="1"/>
  <c r="Z120" i="7"/>
  <c r="AA120" i="7"/>
  <c r="Z117" i="7"/>
  <c r="AA117" i="7"/>
  <c r="Z153" i="7"/>
  <c r="AA153" i="7"/>
  <c r="Y56" i="7"/>
  <c r="Z26" i="7"/>
  <c r="AA26" i="7"/>
  <c r="AB26" i="7" s="1"/>
  <c r="W91" i="9"/>
  <c r="AA91" i="9" s="1"/>
  <c r="M91" i="9"/>
  <c r="Q91" i="9" s="1"/>
  <c r="X91" i="9"/>
  <c r="AB91" i="9" s="1"/>
  <c r="U91" i="9"/>
  <c r="Y91" i="9" s="1"/>
  <c r="L91" i="9"/>
  <c r="P91" i="9" s="1"/>
  <c r="K91" i="9"/>
  <c r="O91" i="9" s="1"/>
  <c r="N91" i="9"/>
  <c r="R91" i="9" s="1"/>
  <c r="V91" i="9"/>
  <c r="Z91" i="9" s="1"/>
  <c r="N9" i="9"/>
  <c r="R9" i="9" s="1"/>
  <c r="L9" i="9"/>
  <c r="P9" i="9" s="1"/>
  <c r="M9" i="9"/>
  <c r="X9" i="9"/>
  <c r="AB9" i="9" s="1"/>
  <c r="K9" i="9"/>
  <c r="O9" i="9" s="1"/>
  <c r="S9" i="9" s="1"/>
  <c r="U9" i="9"/>
  <c r="Y9" i="9" s="1"/>
  <c r="W9" i="9"/>
  <c r="AA9" i="9" s="1"/>
  <c r="V9" i="9"/>
  <c r="Z9" i="9" s="1"/>
  <c r="R94" i="9"/>
  <c r="H66" i="9"/>
  <c r="R66" i="7"/>
  <c r="V66" i="7" s="1"/>
  <c r="U66" i="7"/>
  <c r="Y66" i="7" s="1"/>
  <c r="T66" i="7"/>
  <c r="X66" i="7" s="1"/>
  <c r="S66" i="7"/>
  <c r="W66" i="7" s="1"/>
  <c r="R126" i="9"/>
  <c r="AA183" i="9"/>
  <c r="U102" i="9"/>
  <c r="Y102" i="9" s="1"/>
  <c r="N102" i="9"/>
  <c r="R102" i="9" s="1"/>
  <c r="M102" i="9"/>
  <c r="Q102" i="9" s="1"/>
  <c r="X102" i="9"/>
  <c r="AB102" i="9" s="1"/>
  <c r="W102" i="9"/>
  <c r="AA102" i="9" s="1"/>
  <c r="V102" i="9"/>
  <c r="Z102" i="9" s="1"/>
  <c r="K102" i="9"/>
  <c r="O102" i="9" s="1"/>
  <c r="L102" i="9"/>
  <c r="P102" i="9" s="1"/>
  <c r="Z183" i="7"/>
  <c r="AA183" i="7"/>
  <c r="AB183" i="7" s="1"/>
  <c r="H52" i="9"/>
  <c r="T52" i="7"/>
  <c r="X52" i="7" s="1"/>
  <c r="R52" i="7"/>
  <c r="V52" i="7" s="1"/>
  <c r="U52" i="7"/>
  <c r="Y52" i="7" s="1"/>
  <c r="S52" i="7"/>
  <c r="W52" i="7" s="1"/>
  <c r="L46" i="9"/>
  <c r="P46" i="9" s="1"/>
  <c r="U46" i="9"/>
  <c r="Y46" i="9" s="1"/>
  <c r="N46" i="9"/>
  <c r="R46" i="9" s="1"/>
  <c r="K46" i="9"/>
  <c r="O46" i="9" s="1"/>
  <c r="X46" i="9"/>
  <c r="AB46" i="9" s="1"/>
  <c r="W46" i="9"/>
  <c r="AA46" i="9" s="1"/>
  <c r="M46" i="9"/>
  <c r="Q46" i="9" s="1"/>
  <c r="V46" i="9"/>
  <c r="Z46" i="9" s="1"/>
  <c r="AA130" i="9"/>
  <c r="M13" i="9"/>
  <c r="Q13" i="9" s="1"/>
  <c r="U13" i="9"/>
  <c r="Y13" i="9" s="1"/>
  <c r="AC13" i="9" s="1"/>
  <c r="N13" i="9"/>
  <c r="R13" i="9" s="1"/>
  <c r="L13" i="9"/>
  <c r="P13" i="9" s="1"/>
  <c r="K13" i="9"/>
  <c r="O13" i="9" s="1"/>
  <c r="V13" i="9"/>
  <c r="Z13" i="9" s="1"/>
  <c r="X13" i="9"/>
  <c r="AB13" i="9" s="1"/>
  <c r="W13" i="9"/>
  <c r="AA13" i="9" s="1"/>
  <c r="R48" i="9"/>
  <c r="W80" i="10"/>
  <c r="V79" i="10" s="1"/>
  <c r="W61" i="10"/>
  <c r="V60" i="10" s="1"/>
  <c r="U59" i="10" s="1"/>
  <c r="Z145" i="7"/>
  <c r="AA145" i="7"/>
  <c r="AB145" i="7" s="1"/>
  <c r="Z29" i="7"/>
  <c r="AA29" i="7"/>
  <c r="V4" i="9"/>
  <c r="Z4" i="9" s="1"/>
  <c r="U4" i="9"/>
  <c r="Y4" i="9" s="1"/>
  <c r="X4" i="9"/>
  <c r="W4" i="9"/>
  <c r="AA4" i="9" s="1"/>
  <c r="K4" i="9"/>
  <c r="O4" i="9" s="1"/>
  <c r="N4" i="9"/>
  <c r="R4" i="9" s="1"/>
  <c r="M4" i="9"/>
  <c r="Q4" i="9" s="1"/>
  <c r="L4" i="9"/>
  <c r="P4" i="9" s="1"/>
  <c r="H168" i="9"/>
  <c r="S168" i="7"/>
  <c r="W168" i="7" s="1"/>
  <c r="T168" i="7"/>
  <c r="R168" i="7"/>
  <c r="V168" i="7" s="1"/>
  <c r="U168" i="7"/>
  <c r="Y168" i="7" s="1"/>
  <c r="M160" i="9"/>
  <c r="Q160" i="9" s="1"/>
  <c r="W160" i="9"/>
  <c r="AA160" i="9" s="1"/>
  <c r="U160" i="9"/>
  <c r="Y160" i="9" s="1"/>
  <c r="X160" i="9"/>
  <c r="AB160" i="9" s="1"/>
  <c r="L160" i="9"/>
  <c r="P160" i="9" s="1"/>
  <c r="K160" i="9"/>
  <c r="O160" i="9" s="1"/>
  <c r="N160" i="9"/>
  <c r="R160" i="9" s="1"/>
  <c r="V160" i="9"/>
  <c r="Z160" i="9" s="1"/>
  <c r="N57" i="9"/>
  <c r="R57" i="9" s="1"/>
  <c r="X57" i="9"/>
  <c r="AB57" i="9" s="1"/>
  <c r="M57" i="9"/>
  <c r="Q57" i="9" s="1"/>
  <c r="L57" i="9"/>
  <c r="P57" i="9" s="1"/>
  <c r="K57" i="9"/>
  <c r="O57" i="9" s="1"/>
  <c r="V57" i="9"/>
  <c r="Z57" i="9" s="1"/>
  <c r="U57" i="9"/>
  <c r="Y57" i="9" s="1"/>
  <c r="W57" i="9"/>
  <c r="AA57" i="9" s="1"/>
  <c r="M6" i="9"/>
  <c r="Q6" i="9" s="1"/>
  <c r="N6" i="9"/>
  <c r="R6" i="9" s="1"/>
  <c r="W6" i="9"/>
  <c r="AA6" i="9" s="1"/>
  <c r="L6" i="9"/>
  <c r="P6" i="9" s="1"/>
  <c r="V6" i="9"/>
  <c r="Z6" i="9" s="1"/>
  <c r="U6" i="9"/>
  <c r="Y6" i="9" s="1"/>
  <c r="X6" i="9"/>
  <c r="K6" i="9"/>
  <c r="O6" i="9" s="1"/>
  <c r="AC128" i="9"/>
  <c r="Z7" i="7"/>
  <c r="AA7" i="7"/>
  <c r="L145" i="9"/>
  <c r="P145" i="9" s="1"/>
  <c r="N145" i="9"/>
  <c r="R145" i="9" s="1"/>
  <c r="M145" i="9"/>
  <c r="Q145" i="9" s="1"/>
  <c r="K145" i="9"/>
  <c r="O145" i="9" s="1"/>
  <c r="X145" i="9"/>
  <c r="AB145" i="9" s="1"/>
  <c r="V145" i="9"/>
  <c r="Z145" i="9" s="1"/>
  <c r="U145" i="9"/>
  <c r="Y145" i="9" s="1"/>
  <c r="W145" i="9"/>
  <c r="AA145" i="9" s="1"/>
  <c r="M122" i="9"/>
  <c r="Q122" i="9" s="1"/>
  <c r="V122" i="9"/>
  <c r="Z122" i="9" s="1"/>
  <c r="L122" i="9"/>
  <c r="P122" i="9" s="1"/>
  <c r="X122" i="9"/>
  <c r="AB122" i="9" s="1"/>
  <c r="N122" i="9"/>
  <c r="U122" i="9"/>
  <c r="Y122" i="9" s="1"/>
  <c r="K122" i="9"/>
  <c r="O122" i="9" s="1"/>
  <c r="W122" i="9"/>
  <c r="AA21" i="9"/>
  <c r="Z16" i="7"/>
  <c r="AA16" i="7"/>
  <c r="H169" i="9"/>
  <c r="S169" i="7"/>
  <c r="W169" i="7" s="1"/>
  <c r="R169" i="7"/>
  <c r="V169" i="7" s="1"/>
  <c r="U169" i="7"/>
  <c r="Y169" i="7" s="1"/>
  <c r="T169" i="7"/>
  <c r="X169" i="7" s="1"/>
  <c r="L29" i="9"/>
  <c r="P29" i="9" s="1"/>
  <c r="M29" i="9"/>
  <c r="Q29" i="9" s="1"/>
  <c r="X29" i="9"/>
  <c r="N29" i="9"/>
  <c r="V29" i="9"/>
  <c r="Z29" i="9" s="1"/>
  <c r="K29" i="9"/>
  <c r="O29" i="9" s="1"/>
  <c r="W29" i="9"/>
  <c r="U29" i="9"/>
  <c r="Y29" i="9" s="1"/>
  <c r="Z125" i="7"/>
  <c r="AA125" i="7"/>
  <c r="AB125" i="7" s="1"/>
  <c r="H90" i="9"/>
  <c r="U90" i="7"/>
  <c r="Y90" i="7" s="1"/>
  <c r="R90" i="7"/>
  <c r="V90" i="7" s="1"/>
  <c r="T90" i="7"/>
  <c r="X90" i="7" s="1"/>
  <c r="S90" i="7"/>
  <c r="W90" i="7" s="1"/>
  <c r="Z58" i="7"/>
  <c r="AA58" i="7"/>
  <c r="AB58" i="7" s="1"/>
  <c r="H81" i="9"/>
  <c r="S81" i="7"/>
  <c r="W81" i="7" s="1"/>
  <c r="T81" i="7"/>
  <c r="X81" i="7" s="1"/>
  <c r="U81" i="7"/>
  <c r="Y81" i="7" s="1"/>
  <c r="R81" i="7"/>
  <c r="V81" i="7" s="1"/>
  <c r="N83" i="9"/>
  <c r="R83" i="9" s="1"/>
  <c r="V83" i="9"/>
  <c r="Z83" i="9" s="1"/>
  <c r="U83" i="9"/>
  <c r="Y83" i="9" s="1"/>
  <c r="L83" i="9"/>
  <c r="P83" i="9" s="1"/>
  <c r="K83" i="9"/>
  <c r="O83" i="9" s="1"/>
  <c r="M83" i="9"/>
  <c r="Q83" i="9" s="1"/>
  <c r="W83" i="9"/>
  <c r="X83" i="9"/>
  <c r="AB83" i="9" s="1"/>
  <c r="X70" i="7"/>
  <c r="K16" i="9"/>
  <c r="O16" i="9" s="1"/>
  <c r="W16" i="9"/>
  <c r="AA16" i="9" s="1"/>
  <c r="M16" i="9"/>
  <c r="Q16" i="9" s="1"/>
  <c r="V16" i="9"/>
  <c r="Z16" i="9" s="1"/>
  <c r="X16" i="9"/>
  <c r="AB16" i="9" s="1"/>
  <c r="L16" i="9"/>
  <c r="P16" i="9" s="1"/>
  <c r="U16" i="9"/>
  <c r="Y16" i="9" s="1"/>
  <c r="N16" i="9"/>
  <c r="R16" i="9" s="1"/>
  <c r="V125" i="9"/>
  <c r="Z125" i="9" s="1"/>
  <c r="W125" i="9"/>
  <c r="AA125" i="9" s="1"/>
  <c r="M125" i="9"/>
  <c r="X125" i="9"/>
  <c r="AB125" i="9" s="1"/>
  <c r="U125" i="9"/>
  <c r="Y125" i="9" s="1"/>
  <c r="L125" i="9"/>
  <c r="P125" i="9" s="1"/>
  <c r="N125" i="9"/>
  <c r="R125" i="9" s="1"/>
  <c r="K125" i="9"/>
  <c r="O125" i="9" s="1"/>
  <c r="Z142" i="7"/>
  <c r="AA142" i="7"/>
  <c r="L58" i="9"/>
  <c r="P58" i="9" s="1"/>
  <c r="W58" i="9"/>
  <c r="AA58" i="9" s="1"/>
  <c r="K58" i="9"/>
  <c r="O58" i="9" s="1"/>
  <c r="X58" i="9"/>
  <c r="AB58" i="9" s="1"/>
  <c r="V58" i="9"/>
  <c r="Z58" i="9" s="1"/>
  <c r="N58" i="9"/>
  <c r="R58" i="9" s="1"/>
  <c r="U58" i="9"/>
  <c r="Y58" i="9" s="1"/>
  <c r="M58" i="9"/>
  <c r="Q58" i="9" s="1"/>
  <c r="Z4" i="7"/>
  <c r="AA4" i="7"/>
  <c r="AB4" i="7" s="1"/>
  <c r="R163" i="9"/>
  <c r="AB121" i="9"/>
  <c r="Z32" i="7"/>
  <c r="AA32" i="7"/>
  <c r="M41" i="9"/>
  <c r="Q41" i="9" s="1"/>
  <c r="N41" i="9"/>
  <c r="R41" i="9" s="1"/>
  <c r="L41" i="9"/>
  <c r="P41" i="9" s="1"/>
  <c r="V41" i="9"/>
  <c r="Z41" i="9" s="1"/>
  <c r="K41" i="9"/>
  <c r="O41" i="9" s="1"/>
  <c r="X41" i="9"/>
  <c r="AB41" i="9" s="1"/>
  <c r="U41" i="9"/>
  <c r="Y41" i="9" s="1"/>
  <c r="AC41" i="9" s="1"/>
  <c r="W41" i="9"/>
  <c r="AA41" i="9" s="1"/>
  <c r="Q55" i="9"/>
  <c r="N30" i="9"/>
  <c r="R30" i="9" s="1"/>
  <c r="M30" i="9"/>
  <c r="Q30" i="9" s="1"/>
  <c r="L30" i="9"/>
  <c r="P30" i="9" s="1"/>
  <c r="V30" i="9"/>
  <c r="Z30" i="9" s="1"/>
  <c r="K30" i="9"/>
  <c r="O30" i="9" s="1"/>
  <c r="X30" i="9"/>
  <c r="AB30" i="9" s="1"/>
  <c r="U30" i="9"/>
  <c r="Y30" i="9" s="1"/>
  <c r="W30" i="9"/>
  <c r="AA30" i="9" s="1"/>
  <c r="S173" i="9"/>
  <c r="AD173" i="9" s="1"/>
  <c r="AE173" i="9" s="1"/>
  <c r="AA31" i="9"/>
  <c r="H139" i="9"/>
  <c r="S139" i="7"/>
  <c r="W139" i="7" s="1"/>
  <c r="R139" i="7"/>
  <c r="V139" i="7" s="1"/>
  <c r="U139" i="7"/>
  <c r="Y139" i="7" s="1"/>
  <c r="T139" i="7"/>
  <c r="X139" i="7" s="1"/>
  <c r="H147" i="9"/>
  <c r="U147" i="7"/>
  <c r="Y147" i="7" s="1"/>
  <c r="T147" i="7"/>
  <c r="X147" i="7" s="1"/>
  <c r="R147" i="7"/>
  <c r="V147" i="7" s="1"/>
  <c r="S147" i="7"/>
  <c r="W147" i="7" s="1"/>
  <c r="AA161" i="9"/>
  <c r="Z135" i="7"/>
  <c r="AA135" i="7"/>
  <c r="AA134" i="9"/>
  <c r="F26" i="8"/>
  <c r="F27" i="8"/>
  <c r="R119" i="9"/>
  <c r="Z186" i="7"/>
  <c r="AA186" i="7"/>
  <c r="AB186" i="7" s="1"/>
  <c r="H95" i="9"/>
  <c r="R95" i="7"/>
  <c r="V95" i="7" s="1"/>
  <c r="T95" i="7"/>
  <c r="X95" i="7" s="1"/>
  <c r="S95" i="7"/>
  <c r="W95" i="7" s="1"/>
  <c r="U95" i="7"/>
  <c r="Y95" i="7" s="1"/>
  <c r="Z11" i="7"/>
  <c r="AA11" i="7"/>
  <c r="AB109" i="9"/>
  <c r="K37" i="9"/>
  <c r="O37" i="9" s="1"/>
  <c r="X37" i="9"/>
  <c r="AB37" i="9" s="1"/>
  <c r="W37" i="9"/>
  <c r="AA37" i="9" s="1"/>
  <c r="L37" i="9"/>
  <c r="P37" i="9" s="1"/>
  <c r="V37" i="9"/>
  <c r="Z37" i="9" s="1"/>
  <c r="M37" i="9"/>
  <c r="Q37" i="9" s="1"/>
  <c r="U37" i="9"/>
  <c r="Y37" i="9" s="1"/>
  <c r="N37" i="9"/>
  <c r="R37" i="9" s="1"/>
  <c r="R153" i="9"/>
  <c r="Z162" i="7"/>
  <c r="AA162" i="7"/>
  <c r="AB162" i="7" s="1"/>
  <c r="X120" i="9"/>
  <c r="AB120" i="9" s="1"/>
  <c r="N120" i="9"/>
  <c r="R120" i="9" s="1"/>
  <c r="M120" i="9"/>
  <c r="Q120" i="9" s="1"/>
  <c r="W120" i="9"/>
  <c r="AA120" i="9" s="1"/>
  <c r="V120" i="9"/>
  <c r="Z120" i="9" s="1"/>
  <c r="K120" i="9"/>
  <c r="O120" i="9" s="1"/>
  <c r="U120" i="9"/>
  <c r="Y120" i="9" s="1"/>
  <c r="L120" i="9"/>
  <c r="P120" i="9" s="1"/>
  <c r="AC181" i="9"/>
  <c r="Z182" i="7"/>
  <c r="AA182" i="7"/>
  <c r="AB182" i="7" s="1"/>
  <c r="Q9" i="9"/>
  <c r="R22" i="9"/>
  <c r="R35" i="9"/>
  <c r="AB14" i="9"/>
  <c r="Z67" i="7"/>
  <c r="AA67" i="7"/>
  <c r="Z36" i="7"/>
  <c r="AA36" i="7"/>
  <c r="AB36" i="7" s="1"/>
  <c r="L124" i="9"/>
  <c r="P124" i="9" s="1"/>
  <c r="N124" i="9"/>
  <c r="R124" i="9" s="1"/>
  <c r="W124" i="9"/>
  <c r="AA124" i="9" s="1"/>
  <c r="K124" i="9"/>
  <c r="O124" i="9" s="1"/>
  <c r="X124" i="9"/>
  <c r="AB124" i="9" s="1"/>
  <c r="M124" i="9"/>
  <c r="Q124" i="9" s="1"/>
  <c r="U124" i="9"/>
  <c r="Y124" i="9" s="1"/>
  <c r="V124" i="9"/>
  <c r="Z124" i="9" s="1"/>
  <c r="AB71" i="9"/>
  <c r="AB177" i="9"/>
  <c r="AB181" i="7"/>
  <c r="Q23" i="9"/>
  <c r="Z167" i="7"/>
  <c r="AA167" i="7"/>
  <c r="N116" i="9"/>
  <c r="R116" i="9" s="1"/>
  <c r="X116" i="9"/>
  <c r="AB116" i="9" s="1"/>
  <c r="K116" i="9"/>
  <c r="O116" i="9" s="1"/>
  <c r="W116" i="9"/>
  <c r="AA116" i="9" s="1"/>
  <c r="V116" i="9"/>
  <c r="Z116" i="9" s="1"/>
  <c r="L116" i="9"/>
  <c r="P116" i="9" s="1"/>
  <c r="U116" i="9"/>
  <c r="Y116" i="9" s="1"/>
  <c r="AC116" i="9" s="1"/>
  <c r="M116" i="9"/>
  <c r="Q116" i="9" s="1"/>
  <c r="AB166" i="9"/>
  <c r="Z108" i="7"/>
  <c r="AA108" i="7"/>
  <c r="N8" i="9"/>
  <c r="R8" i="9" s="1"/>
  <c r="W8" i="9"/>
  <c r="AA8" i="9" s="1"/>
  <c r="L8" i="9"/>
  <c r="P8" i="9" s="1"/>
  <c r="K8" i="9"/>
  <c r="O8" i="9" s="1"/>
  <c r="S8" i="9" s="1"/>
  <c r="M8" i="9"/>
  <c r="Q8" i="9" s="1"/>
  <c r="V8" i="9"/>
  <c r="Z8" i="9" s="1"/>
  <c r="U8" i="9"/>
  <c r="Y8" i="9" s="1"/>
  <c r="X8" i="9"/>
  <c r="AB8" i="9" s="1"/>
  <c r="AB165" i="7"/>
  <c r="Z73" i="7"/>
  <c r="AA73" i="7"/>
  <c r="AB6" i="9"/>
  <c r="Q103" i="9"/>
  <c r="Z111" i="7"/>
  <c r="AA111" i="7"/>
  <c r="AB111" i="7" s="1"/>
  <c r="AA72" i="9"/>
  <c r="X34" i="9"/>
  <c r="AB34" i="9" s="1"/>
  <c r="V34" i="9"/>
  <c r="Z34" i="9" s="1"/>
  <c r="L34" i="9"/>
  <c r="P34" i="9" s="1"/>
  <c r="U34" i="9"/>
  <c r="Y34" i="9" s="1"/>
  <c r="M34" i="9"/>
  <c r="Q34" i="9" s="1"/>
  <c r="N34" i="9"/>
  <c r="R34" i="9" s="1"/>
  <c r="K34" i="9"/>
  <c r="O34" i="9" s="1"/>
  <c r="W34" i="9"/>
  <c r="AA34" i="9" s="1"/>
  <c r="R51" i="9"/>
  <c r="Y171" i="7"/>
  <c r="Z19" i="7"/>
  <c r="AA19" i="7"/>
  <c r="H68" i="9"/>
  <c r="R68" i="7"/>
  <c r="V68" i="7" s="1"/>
  <c r="T68" i="7"/>
  <c r="X68" i="7" s="1"/>
  <c r="S68" i="7"/>
  <c r="W68" i="7" s="1"/>
  <c r="U68" i="7"/>
  <c r="Y68" i="7" s="1"/>
  <c r="H82" i="9"/>
  <c r="S82" i="7"/>
  <c r="W82" i="7" s="1"/>
  <c r="R82" i="7"/>
  <c r="V82" i="7" s="1"/>
  <c r="T82" i="7"/>
  <c r="X82" i="7" s="1"/>
  <c r="U82" i="7"/>
  <c r="Y82" i="7" s="1"/>
  <c r="AB183" i="9"/>
  <c r="Z177" i="7"/>
  <c r="AA177" i="7"/>
  <c r="H150" i="9"/>
  <c r="T150" i="7"/>
  <c r="X150" i="7" s="1"/>
  <c r="U150" i="7"/>
  <c r="Y150" i="7" s="1"/>
  <c r="S150" i="7"/>
  <c r="W150" i="7" s="1"/>
  <c r="R150" i="7"/>
  <c r="V150" i="7" s="1"/>
  <c r="D26" i="8"/>
  <c r="D27" i="8"/>
  <c r="D28" i="8" s="1"/>
  <c r="Z144" i="7"/>
  <c r="AA144" i="7"/>
  <c r="AB144" i="7" s="1"/>
  <c r="AA99" i="9"/>
  <c r="N64" i="9"/>
  <c r="R64" i="9" s="1"/>
  <c r="M64" i="9"/>
  <c r="Q64" i="9" s="1"/>
  <c r="K64" i="9"/>
  <c r="O64" i="9" s="1"/>
  <c r="X64" i="9"/>
  <c r="AB64" i="9" s="1"/>
  <c r="W64" i="9"/>
  <c r="AA64" i="9" s="1"/>
  <c r="V64" i="9"/>
  <c r="Z64" i="9" s="1"/>
  <c r="U64" i="9"/>
  <c r="Y64" i="9" s="1"/>
  <c r="AC64" i="9" s="1"/>
  <c r="L64" i="9"/>
  <c r="P64" i="9" s="1"/>
  <c r="U114" i="9"/>
  <c r="Y114" i="9" s="1"/>
  <c r="N114" i="9"/>
  <c r="R114" i="9" s="1"/>
  <c r="W114" i="9"/>
  <c r="AA114" i="9" s="1"/>
  <c r="M114" i="9"/>
  <c r="Q114" i="9" s="1"/>
  <c r="L114" i="9"/>
  <c r="P114" i="9" s="1"/>
  <c r="V114" i="9"/>
  <c r="Z114" i="9" s="1"/>
  <c r="K114" i="9"/>
  <c r="O114" i="9" s="1"/>
  <c r="X114" i="9"/>
  <c r="AB114" i="9" s="1"/>
  <c r="H98" i="9"/>
  <c r="U98" i="7"/>
  <c r="Y98" i="7" s="1"/>
  <c r="T98" i="7"/>
  <c r="X98" i="7" s="1"/>
  <c r="R98" i="7"/>
  <c r="V98" i="7" s="1"/>
  <c r="S98" i="7"/>
  <c r="W98" i="7" s="1"/>
  <c r="AB164" i="7"/>
  <c r="Q7" i="9"/>
  <c r="X132" i="9"/>
  <c r="AB132" i="9" s="1"/>
  <c r="M132" i="9"/>
  <c r="Q132" i="9" s="1"/>
  <c r="W132" i="9"/>
  <c r="AA132" i="9" s="1"/>
  <c r="N132" i="9"/>
  <c r="R132" i="9" s="1"/>
  <c r="V132" i="9"/>
  <c r="Z132" i="9" s="1"/>
  <c r="U132" i="9"/>
  <c r="Y132" i="9" s="1"/>
  <c r="L132" i="9"/>
  <c r="P132" i="9" s="1"/>
  <c r="K132" i="9"/>
  <c r="O132" i="9" s="1"/>
  <c r="S132" i="9" s="1"/>
  <c r="X17" i="9"/>
  <c r="AB17" i="9" s="1"/>
  <c r="K17" i="9"/>
  <c r="O17" i="9" s="1"/>
  <c r="W17" i="9"/>
  <c r="AA17" i="9" s="1"/>
  <c r="V17" i="9"/>
  <c r="Z17" i="9" s="1"/>
  <c r="M17" i="9"/>
  <c r="Q17" i="9" s="1"/>
  <c r="N17" i="9"/>
  <c r="R17" i="9" s="1"/>
  <c r="U17" i="9"/>
  <c r="Y17" i="9" s="1"/>
  <c r="AC17" i="9" s="1"/>
  <c r="L17" i="9"/>
  <c r="P17" i="9" s="1"/>
  <c r="Z10" i="7"/>
  <c r="AA10" i="7"/>
  <c r="AB10" i="7" s="1"/>
  <c r="R47" i="9"/>
  <c r="N110" i="9"/>
  <c r="R110" i="9" s="1"/>
  <c r="M110" i="9"/>
  <c r="Q110" i="9" s="1"/>
  <c r="L110" i="9"/>
  <c r="P110" i="9" s="1"/>
  <c r="K110" i="9"/>
  <c r="O110" i="9" s="1"/>
  <c r="V110" i="9"/>
  <c r="Z110" i="9" s="1"/>
  <c r="X110" i="9"/>
  <c r="AB110" i="9" s="1"/>
  <c r="W110" i="9"/>
  <c r="AA110" i="9" s="1"/>
  <c r="U110" i="9"/>
  <c r="Y110" i="9" s="1"/>
  <c r="AC110" i="9" s="1"/>
  <c r="V100" i="9"/>
  <c r="Z100" i="9" s="1"/>
  <c r="L100" i="9"/>
  <c r="P100" i="9" s="1"/>
  <c r="W100" i="9"/>
  <c r="AA100" i="9" s="1"/>
  <c r="K100" i="9"/>
  <c r="O100" i="9" s="1"/>
  <c r="U100" i="9"/>
  <c r="Y100" i="9" s="1"/>
  <c r="N100" i="9"/>
  <c r="R100" i="9" s="1"/>
  <c r="X100" i="9"/>
  <c r="AB100" i="9" s="1"/>
  <c r="M100" i="9"/>
  <c r="Q100" i="9" s="1"/>
  <c r="X58" i="10"/>
  <c r="W57" i="10" s="1"/>
  <c r="V56" i="10" s="1"/>
  <c r="U55" i="10" s="1"/>
  <c r="T54" i="10" s="1"/>
  <c r="S53" i="10" s="1"/>
  <c r="R52" i="10" s="1"/>
  <c r="X86" i="10"/>
  <c r="W85" i="10" s="1"/>
  <c r="V84" i="10" s="1"/>
  <c r="U83" i="10" s="1"/>
  <c r="T82" i="10" s="1"/>
  <c r="X68" i="10"/>
  <c r="W67" i="10" s="1"/>
  <c r="V66" i="10" s="1"/>
  <c r="U65" i="10" s="1"/>
  <c r="T64" i="10" s="1"/>
  <c r="W62" i="10"/>
  <c r="Z180" i="7"/>
  <c r="AA180" i="7"/>
  <c r="Z28" i="7"/>
  <c r="AA28" i="7"/>
  <c r="AB28" i="7" s="1"/>
  <c r="H85" i="9"/>
  <c r="R85" i="7"/>
  <c r="V85" i="7" s="1"/>
  <c r="U85" i="7"/>
  <c r="Y85" i="7" s="1"/>
  <c r="S85" i="7"/>
  <c r="W85" i="7" s="1"/>
  <c r="T85" i="7"/>
  <c r="X85" i="7" s="1"/>
  <c r="H131" i="9"/>
  <c r="R131" i="7"/>
  <c r="V131" i="7" s="1"/>
  <c r="T131" i="7"/>
  <c r="X131" i="7" s="1"/>
  <c r="S131" i="7"/>
  <c r="W131" i="7" s="1"/>
  <c r="U131" i="7"/>
  <c r="Y131" i="7" s="1"/>
  <c r="X168" i="7"/>
  <c r="Z130" i="7"/>
  <c r="AA130" i="7"/>
  <c r="AB130" i="7" s="1"/>
  <c r="Z163" i="7"/>
  <c r="AA163" i="7"/>
  <c r="AB163" i="7" s="1"/>
  <c r="M25" i="9"/>
  <c r="Q25" i="9" s="1"/>
  <c r="N25" i="9"/>
  <c r="R25" i="9" s="1"/>
  <c r="K25" i="9"/>
  <c r="O25" i="9" s="1"/>
  <c r="V25" i="9"/>
  <c r="Z25" i="9" s="1"/>
  <c r="W25" i="9"/>
  <c r="AA25" i="9" s="1"/>
  <c r="X25" i="9"/>
  <c r="AB25" i="9" s="1"/>
  <c r="L25" i="9"/>
  <c r="P25" i="9" s="1"/>
  <c r="U25" i="9"/>
  <c r="Y25" i="9" s="1"/>
  <c r="H50" i="9"/>
  <c r="R50" i="7"/>
  <c r="V50" i="7" s="1"/>
  <c r="T50" i="7"/>
  <c r="X50" i="7" s="1"/>
  <c r="U50" i="7"/>
  <c r="Y50" i="7" s="1"/>
  <c r="S50" i="7"/>
  <c r="W50" i="7" s="1"/>
  <c r="H56" i="9"/>
  <c r="T56" i="7"/>
  <c r="X56" i="7" s="1"/>
  <c r="U56" i="7"/>
  <c r="R56" i="7"/>
  <c r="V56" i="7" s="1"/>
  <c r="S56" i="7"/>
  <c r="W56" i="7" s="1"/>
  <c r="U129" i="9"/>
  <c r="Y129" i="9" s="1"/>
  <c r="AC129" i="9" s="1"/>
  <c r="M129" i="9"/>
  <c r="Q129" i="9" s="1"/>
  <c r="V129" i="9"/>
  <c r="Z129" i="9" s="1"/>
  <c r="N129" i="9"/>
  <c r="W129" i="9"/>
  <c r="AA129" i="9" s="1"/>
  <c r="L129" i="9"/>
  <c r="P129" i="9" s="1"/>
  <c r="K129" i="9"/>
  <c r="O129" i="9" s="1"/>
  <c r="X129" i="9"/>
  <c r="AB129" i="9" s="1"/>
  <c r="H172" i="9"/>
  <c r="T172" i="7"/>
  <c r="X172" i="7" s="1"/>
  <c r="S172" i="7"/>
  <c r="W172" i="7" s="1"/>
  <c r="U172" i="7"/>
  <c r="Y172" i="7" s="1"/>
  <c r="R172" i="7"/>
  <c r="V172" i="7" s="1"/>
  <c r="M67" i="9"/>
  <c r="Q67" i="9" s="1"/>
  <c r="L67" i="9"/>
  <c r="P67" i="9" s="1"/>
  <c r="K67" i="9"/>
  <c r="O67" i="9" s="1"/>
  <c r="V67" i="9"/>
  <c r="Z67" i="9" s="1"/>
  <c r="U67" i="9"/>
  <c r="Y67" i="9" s="1"/>
  <c r="X67" i="9"/>
  <c r="AB67" i="9" s="1"/>
  <c r="N67" i="9"/>
  <c r="R67" i="9" s="1"/>
  <c r="W67" i="9"/>
  <c r="AA67" i="9" s="1"/>
  <c r="X36" i="9"/>
  <c r="AB36" i="9" s="1"/>
  <c r="W36" i="9"/>
  <c r="AA36" i="9" s="1"/>
  <c r="V36" i="9"/>
  <c r="Z36" i="9" s="1"/>
  <c r="K36" i="9"/>
  <c r="O36" i="9" s="1"/>
  <c r="L36" i="9"/>
  <c r="P36" i="9" s="1"/>
  <c r="U36" i="9"/>
  <c r="Y36" i="9" s="1"/>
  <c r="M36" i="9"/>
  <c r="Q36" i="9" s="1"/>
  <c r="N36" i="9"/>
  <c r="R36" i="9" s="1"/>
  <c r="Z45" i="7"/>
  <c r="AA45" i="7"/>
  <c r="AB45" i="7" s="1"/>
  <c r="AC164" i="9"/>
  <c r="M26" i="9"/>
  <c r="Q26" i="9" s="1"/>
  <c r="K26" i="9"/>
  <c r="O26" i="9" s="1"/>
  <c r="N26" i="9"/>
  <c r="R26" i="9" s="1"/>
  <c r="U26" i="9"/>
  <c r="Y26" i="9" s="1"/>
  <c r="L26" i="9"/>
  <c r="P26" i="9" s="1"/>
  <c r="W26" i="9"/>
  <c r="AA26" i="9" s="1"/>
  <c r="X26" i="9"/>
  <c r="AB26" i="9" s="1"/>
  <c r="V26" i="9"/>
  <c r="Z26" i="9" s="1"/>
  <c r="AC159" i="9"/>
  <c r="H170" i="9"/>
  <c r="R170" i="7"/>
  <c r="V170" i="7" s="1"/>
  <c r="U170" i="7"/>
  <c r="Y170" i="7" s="1"/>
  <c r="T170" i="7"/>
  <c r="X170" i="7" s="1"/>
  <c r="S170" i="7"/>
  <c r="W170" i="7" s="1"/>
  <c r="Z23" i="7"/>
  <c r="AA23" i="7"/>
  <c r="Z43" i="7"/>
  <c r="AA43" i="7"/>
  <c r="AB43" i="7" s="1"/>
  <c r="M111" i="9"/>
  <c r="Q111" i="9" s="1"/>
  <c r="X111" i="9"/>
  <c r="AB111" i="9" s="1"/>
  <c r="L111" i="9"/>
  <c r="P111" i="9" s="1"/>
  <c r="W111" i="9"/>
  <c r="AA111" i="9" s="1"/>
  <c r="K111" i="9"/>
  <c r="O111" i="9" s="1"/>
  <c r="V111" i="9"/>
  <c r="Z111" i="9" s="1"/>
  <c r="N111" i="9"/>
  <c r="R111" i="9" s="1"/>
  <c r="U111" i="9"/>
  <c r="Y111" i="9" s="1"/>
  <c r="Z48" i="7"/>
  <c r="AA48" i="7"/>
  <c r="AB48" i="7" s="1"/>
  <c r="H62" i="9"/>
  <c r="R62" i="7"/>
  <c r="V62" i="7" s="1"/>
  <c r="U62" i="7"/>
  <c r="S62" i="7"/>
  <c r="W62" i="7" s="1"/>
  <c r="T62" i="7"/>
  <c r="X62" i="7" s="1"/>
  <c r="Z123" i="7"/>
  <c r="AA123" i="7"/>
  <c r="AB123" i="7" s="1"/>
  <c r="AB4" i="9"/>
  <c r="AA29" i="9"/>
  <c r="AA122" i="9"/>
  <c r="Z107" i="7"/>
  <c r="AA107" i="7"/>
  <c r="AB107" i="7" s="1"/>
  <c r="V49" i="9"/>
  <c r="Z49" i="9" s="1"/>
  <c r="M49" i="9"/>
  <c r="Q49" i="9" s="1"/>
  <c r="X49" i="9"/>
  <c r="AB49" i="9" s="1"/>
  <c r="K49" i="9"/>
  <c r="O49" i="9" s="1"/>
  <c r="W49" i="9"/>
  <c r="AA49" i="9" s="1"/>
  <c r="L49" i="9"/>
  <c r="P49" i="9" s="1"/>
  <c r="U49" i="9"/>
  <c r="Y49" i="9" s="1"/>
  <c r="N49" i="9"/>
  <c r="R49" i="9" s="1"/>
  <c r="AB142" i="9"/>
  <c r="Z69" i="7"/>
  <c r="AA69" i="7"/>
  <c r="Z20" i="7"/>
  <c r="AA20" i="7"/>
  <c r="AB20" i="7" s="1"/>
  <c r="K113" i="9"/>
  <c r="O113" i="9" s="1"/>
  <c r="X113" i="9"/>
  <c r="AB113" i="9" s="1"/>
  <c r="N113" i="9"/>
  <c r="R113" i="9" s="1"/>
  <c r="M113" i="9"/>
  <c r="Q113" i="9" s="1"/>
  <c r="L113" i="9"/>
  <c r="P113" i="9" s="1"/>
  <c r="U113" i="9"/>
  <c r="Y113" i="9" s="1"/>
  <c r="V113" i="9"/>
  <c r="Z113" i="9" s="1"/>
  <c r="W113" i="9"/>
  <c r="AA113" i="9" s="1"/>
  <c r="AA83" i="9"/>
  <c r="V81" i="10"/>
  <c r="U81" i="10" s="1"/>
  <c r="V62" i="10"/>
  <c r="U62" i="10" s="1"/>
  <c r="AC173" i="9"/>
  <c r="Z57" i="7"/>
  <c r="AA57" i="7"/>
  <c r="R65" i="9"/>
  <c r="H80" i="9"/>
  <c r="T80" i="7"/>
  <c r="X80" i="7" s="1"/>
  <c r="S80" i="7"/>
  <c r="W80" i="7" s="1"/>
  <c r="U80" i="7"/>
  <c r="Y80" i="7" s="1"/>
  <c r="R80" i="7"/>
  <c r="V80" i="7" s="1"/>
  <c r="H86" i="9"/>
  <c r="T86" i="7"/>
  <c r="X86" i="7" s="1"/>
  <c r="R86" i="7"/>
  <c r="V86" i="7" s="1"/>
  <c r="U86" i="7"/>
  <c r="Y86" i="7" s="1"/>
  <c r="S86" i="7"/>
  <c r="W86" i="7" s="1"/>
  <c r="K135" i="9"/>
  <c r="O135" i="9" s="1"/>
  <c r="V135" i="9"/>
  <c r="Z135" i="9" s="1"/>
  <c r="X135" i="9"/>
  <c r="AB135" i="9" s="1"/>
  <c r="U135" i="9"/>
  <c r="Y135" i="9" s="1"/>
  <c r="N135" i="9"/>
  <c r="R135" i="9" s="1"/>
  <c r="W135" i="9"/>
  <c r="AA135" i="9" s="1"/>
  <c r="L135" i="9"/>
  <c r="P135" i="9" s="1"/>
  <c r="M135" i="9"/>
  <c r="Q135" i="9" s="1"/>
  <c r="Z21" i="7"/>
  <c r="AA21" i="7"/>
  <c r="AB21" i="7" s="1"/>
  <c r="U24" i="9"/>
  <c r="Y24" i="9" s="1"/>
  <c r="W24" i="9"/>
  <c r="AA24" i="9" s="1"/>
  <c r="X24" i="9"/>
  <c r="AB24" i="9" s="1"/>
  <c r="N24" i="9"/>
  <c r="R24" i="9" s="1"/>
  <c r="V24" i="9"/>
  <c r="Z24" i="9" s="1"/>
  <c r="M24" i="9"/>
  <c r="Q24" i="9" s="1"/>
  <c r="L24" i="9"/>
  <c r="P24" i="9" s="1"/>
  <c r="K24" i="9"/>
  <c r="O24" i="9" s="1"/>
  <c r="S24" i="9" s="1"/>
  <c r="H74" i="9"/>
  <c r="T74" i="7"/>
  <c r="X74" i="7" s="1"/>
  <c r="S74" i="7"/>
  <c r="W74" i="7" s="1"/>
  <c r="R74" i="7"/>
  <c r="V74" i="7" s="1"/>
  <c r="U74" i="7"/>
  <c r="Y74" i="7" s="1"/>
  <c r="Z119" i="7"/>
  <c r="AA119" i="7"/>
  <c r="AB119" i="7" s="1"/>
  <c r="W117" i="9"/>
  <c r="AA117" i="9" s="1"/>
  <c r="V117" i="9"/>
  <c r="Z117" i="9" s="1"/>
  <c r="U117" i="9"/>
  <c r="Y117" i="9" s="1"/>
  <c r="K117" i="9"/>
  <c r="O117" i="9" s="1"/>
  <c r="X117" i="9"/>
  <c r="M117" i="9"/>
  <c r="Q117" i="9" s="1"/>
  <c r="L117" i="9"/>
  <c r="P117" i="9" s="1"/>
  <c r="N117" i="9"/>
  <c r="R117" i="9" s="1"/>
  <c r="L182" i="9"/>
  <c r="P182" i="9" s="1"/>
  <c r="N182" i="9"/>
  <c r="R182" i="9" s="1"/>
  <c r="X182" i="9"/>
  <c r="AB182" i="9" s="1"/>
  <c r="K182" i="9"/>
  <c r="O182" i="9" s="1"/>
  <c r="W182" i="9"/>
  <c r="M182" i="9"/>
  <c r="Q182" i="9" s="1"/>
  <c r="U182" i="9"/>
  <c r="Y182" i="9" s="1"/>
  <c r="V182" i="9"/>
  <c r="Z182" i="9" s="1"/>
  <c r="H97" i="9"/>
  <c r="U97" i="7"/>
  <c r="Y97" i="7" s="1"/>
  <c r="R97" i="7"/>
  <c r="V97" i="7" s="1"/>
  <c r="T97" i="7"/>
  <c r="X97" i="7" s="1"/>
  <c r="S97" i="7"/>
  <c r="W97" i="7" s="1"/>
  <c r="M7" i="9"/>
  <c r="V7" i="9"/>
  <c r="Z7" i="9" s="1"/>
  <c r="L7" i="9"/>
  <c r="P7" i="9" s="1"/>
  <c r="U7" i="9"/>
  <c r="Y7" i="9" s="1"/>
  <c r="K7" i="9"/>
  <c r="O7" i="9" s="1"/>
  <c r="N7" i="9"/>
  <c r="R7" i="9" s="1"/>
  <c r="W7" i="9"/>
  <c r="AA7" i="9" s="1"/>
  <c r="X7" i="9"/>
  <c r="AB7" i="9" s="1"/>
  <c r="R101" i="9"/>
  <c r="H158" i="9"/>
  <c r="S158" i="7"/>
  <c r="W158" i="7" s="1"/>
  <c r="R158" i="7"/>
  <c r="V158" i="7" s="1"/>
  <c r="U158" i="7"/>
  <c r="Y158" i="7" s="1"/>
  <c r="T158" i="7"/>
  <c r="X158" i="7" s="1"/>
  <c r="Z122" i="7"/>
  <c r="AA122" i="7"/>
  <c r="AB122" i="7" s="1"/>
  <c r="R129" i="9"/>
  <c r="N180" i="9"/>
  <c r="R180" i="9" s="1"/>
  <c r="V180" i="9"/>
  <c r="Z180" i="9" s="1"/>
  <c r="M180" i="9"/>
  <c r="Q180" i="9" s="1"/>
  <c r="L180" i="9"/>
  <c r="P180" i="9" s="1"/>
  <c r="X180" i="9"/>
  <c r="AB180" i="9" s="1"/>
  <c r="W180" i="9"/>
  <c r="AA180" i="9" s="1"/>
  <c r="K180" i="9"/>
  <c r="O180" i="9" s="1"/>
  <c r="U180" i="9"/>
  <c r="Y180" i="9" s="1"/>
  <c r="Q12" i="9"/>
  <c r="AA163" i="9"/>
  <c r="S128" i="9"/>
  <c r="AD128" i="9" s="1"/>
  <c r="AE128" i="9" s="1"/>
  <c r="AG128" i="9" s="1"/>
  <c r="C26" i="8"/>
  <c r="C27" i="8"/>
  <c r="C28" i="8" s="1"/>
  <c r="L32" i="9"/>
  <c r="P32" i="9" s="1"/>
  <c r="K32" i="9"/>
  <c r="O32" i="9" s="1"/>
  <c r="M32" i="9"/>
  <c r="Q32" i="9" s="1"/>
  <c r="N32" i="9"/>
  <c r="R32" i="9" s="1"/>
  <c r="X32" i="9"/>
  <c r="AB32" i="9" s="1"/>
  <c r="U32" i="9"/>
  <c r="Y32" i="9" s="1"/>
  <c r="V32" i="9"/>
  <c r="Z32" i="9" s="1"/>
  <c r="W32" i="9"/>
  <c r="AA32" i="9" s="1"/>
  <c r="Z42" i="7"/>
  <c r="AA42" i="7"/>
  <c r="AB42" i="7" s="1"/>
  <c r="N40" i="9"/>
  <c r="R40" i="9" s="1"/>
  <c r="W40" i="9"/>
  <c r="AA40" i="9" s="1"/>
  <c r="X40" i="9"/>
  <c r="AB40" i="9" s="1"/>
  <c r="M40" i="9"/>
  <c r="Q40" i="9" s="1"/>
  <c r="U40" i="9"/>
  <c r="Y40" i="9" s="1"/>
  <c r="L40" i="9"/>
  <c r="P40" i="9" s="1"/>
  <c r="K40" i="9"/>
  <c r="O40" i="9" s="1"/>
  <c r="V40" i="9"/>
  <c r="Z40" i="9" s="1"/>
  <c r="R54" i="9"/>
  <c r="Y70" i="7"/>
  <c r="AB156" i="9"/>
  <c r="AA182" i="9"/>
  <c r="Z65" i="7"/>
  <c r="AA65" i="7"/>
  <c r="AB65" i="7" s="1"/>
  <c r="R134" i="9"/>
  <c r="Z54" i="7"/>
  <c r="AA54" i="7"/>
  <c r="AB54" i="7" s="1"/>
  <c r="H179" i="9"/>
  <c r="S179" i="7"/>
  <c r="W179" i="7" s="1"/>
  <c r="R179" i="7"/>
  <c r="V179" i="7" s="1"/>
  <c r="U179" i="7"/>
  <c r="Y179" i="7" s="1"/>
  <c r="T179" i="7"/>
  <c r="X179" i="7" s="1"/>
  <c r="L186" i="9"/>
  <c r="P186" i="9" s="1"/>
  <c r="W186" i="9"/>
  <c r="AA186" i="9" s="1"/>
  <c r="N186" i="9"/>
  <c r="R186" i="9" s="1"/>
  <c r="X186" i="9"/>
  <c r="AB186" i="9" s="1"/>
  <c r="U186" i="9"/>
  <c r="Y186" i="9" s="1"/>
  <c r="K186" i="9"/>
  <c r="O186" i="9" s="1"/>
  <c r="S186" i="9" s="1"/>
  <c r="M186" i="9"/>
  <c r="Q186" i="9" s="1"/>
  <c r="V186" i="9"/>
  <c r="Z186" i="9" s="1"/>
  <c r="Z161" i="7"/>
  <c r="AA161" i="7"/>
  <c r="AB161" i="7" s="1"/>
  <c r="AB117" i="9"/>
  <c r="Z18" i="7"/>
  <c r="AA18" i="7"/>
  <c r="AB18" i="7" s="1"/>
  <c r="K112" i="9"/>
  <c r="O112" i="9" s="1"/>
  <c r="N112" i="9"/>
  <c r="R112" i="9" s="1"/>
  <c r="L112" i="9"/>
  <c r="P112" i="9" s="1"/>
  <c r="M112" i="9"/>
  <c r="Q112" i="9" s="1"/>
  <c r="V112" i="9"/>
  <c r="Z112" i="9" s="1"/>
  <c r="W112" i="9"/>
  <c r="AA112" i="9" s="1"/>
  <c r="U112" i="9"/>
  <c r="Y112" i="9" s="1"/>
  <c r="X112" i="9"/>
  <c r="AB112" i="9" s="1"/>
  <c r="H26" i="8"/>
  <c r="H27" i="8"/>
  <c r="Q109" i="9"/>
  <c r="U92" i="10"/>
  <c r="T91" i="10" s="1"/>
  <c r="S90" i="10" s="1"/>
  <c r="R89" i="10" s="1"/>
  <c r="R15" i="9"/>
  <c r="Z109" i="7"/>
  <c r="AA109" i="7"/>
  <c r="X174" i="7"/>
  <c r="Q148" i="9"/>
  <c r="AC157" i="9"/>
  <c r="H149" i="9"/>
  <c r="S149" i="7"/>
  <c r="W149" i="7" s="1"/>
  <c r="U149" i="7"/>
  <c r="Y149" i="7" s="1"/>
  <c r="R149" i="7"/>
  <c r="V149" i="7" s="1"/>
  <c r="T149" i="7"/>
  <c r="X149" i="7" s="1"/>
  <c r="Z33" i="7"/>
  <c r="AA33" i="7"/>
  <c r="AB33" i="7" s="1"/>
  <c r="H137" i="9"/>
  <c r="R137" i="7"/>
  <c r="V137" i="7" s="1"/>
  <c r="T137" i="7"/>
  <c r="X137" i="7" s="1"/>
  <c r="U137" i="7"/>
  <c r="Y137" i="7" s="1"/>
  <c r="S137" i="7"/>
  <c r="W137" i="7" s="1"/>
  <c r="M167" i="9"/>
  <c r="Q167" i="9" s="1"/>
  <c r="N167" i="9"/>
  <c r="R167" i="9" s="1"/>
  <c r="X167" i="9"/>
  <c r="AB167" i="9" s="1"/>
  <c r="V167" i="9"/>
  <c r="Z167" i="9" s="1"/>
  <c r="W167" i="9"/>
  <c r="AA167" i="9" s="1"/>
  <c r="U167" i="9"/>
  <c r="Y167" i="9" s="1"/>
  <c r="L167" i="9"/>
  <c r="P167" i="9" s="1"/>
  <c r="K167" i="9"/>
  <c r="O167" i="9" s="1"/>
  <c r="Z148" i="7"/>
  <c r="AA148" i="7"/>
  <c r="AB148" i="7" s="1"/>
  <c r="Z22" i="7"/>
  <c r="AA22" i="7"/>
  <c r="Z14" i="7"/>
  <c r="AA14" i="7"/>
  <c r="B26" i="8"/>
  <c r="B27" i="8"/>
  <c r="B28" i="8" s="1"/>
  <c r="B32" i="8" s="1"/>
  <c r="L73" i="9"/>
  <c r="P73" i="9" s="1"/>
  <c r="N73" i="9"/>
  <c r="R73" i="9" s="1"/>
  <c r="M73" i="9"/>
  <c r="Q73" i="9" s="1"/>
  <c r="K73" i="9"/>
  <c r="O73" i="9" s="1"/>
  <c r="W73" i="9"/>
  <c r="AA73" i="9" s="1"/>
  <c r="V73" i="9"/>
  <c r="Z73" i="9" s="1"/>
  <c r="U73" i="9"/>
  <c r="Y73" i="9" s="1"/>
  <c r="X73" i="9"/>
  <c r="AB73" i="9" s="1"/>
  <c r="X78" i="7"/>
  <c r="X93" i="7"/>
  <c r="Q126" i="9"/>
  <c r="R28" i="9"/>
  <c r="AA45" i="9"/>
  <c r="Q51" i="9"/>
  <c r="H79" i="9"/>
  <c r="R79" i="7"/>
  <c r="V79" i="7" s="1"/>
  <c r="U79" i="7"/>
  <c r="Y79" i="7" s="1"/>
  <c r="T79" i="7"/>
  <c r="X79" i="7" s="1"/>
  <c r="S79" i="7"/>
  <c r="W79" i="7" s="1"/>
  <c r="U19" i="9"/>
  <c r="Y19" i="9" s="1"/>
  <c r="K19" i="9"/>
  <c r="O19" i="9" s="1"/>
  <c r="L19" i="9"/>
  <c r="P19" i="9" s="1"/>
  <c r="V19" i="9"/>
  <c r="Z19" i="9" s="1"/>
  <c r="N19" i="9"/>
  <c r="R19" i="9" s="1"/>
  <c r="X19" i="9"/>
  <c r="AB19" i="9" s="1"/>
  <c r="M19" i="9"/>
  <c r="Q19" i="9" s="1"/>
  <c r="W19" i="9"/>
  <c r="AA19" i="9" s="1"/>
  <c r="Z71" i="7"/>
  <c r="AA71" i="7"/>
  <c r="AB71" i="7" s="1"/>
  <c r="Y62" i="7"/>
  <c r="Z5" i="7"/>
  <c r="AA5" i="7"/>
  <c r="AB5" i="7" s="1"/>
  <c r="R99" i="9"/>
  <c r="H89" i="9"/>
  <c r="U89" i="7"/>
  <c r="Y89" i="7" s="1"/>
  <c r="S89" i="7"/>
  <c r="W89" i="7" s="1"/>
  <c r="T89" i="7"/>
  <c r="X89" i="7" s="1"/>
  <c r="R89" i="7"/>
  <c r="V89" i="7" s="1"/>
  <c r="Z136" i="7"/>
  <c r="AA136" i="7"/>
  <c r="N123" i="9"/>
  <c r="R123" i="9" s="1"/>
  <c r="V123" i="9"/>
  <c r="Z123" i="9" s="1"/>
  <c r="U123" i="9"/>
  <c r="Y123" i="9" s="1"/>
  <c r="M123" i="9"/>
  <c r="Q123" i="9" s="1"/>
  <c r="L123" i="9"/>
  <c r="P123" i="9" s="1"/>
  <c r="K123" i="9"/>
  <c r="O123" i="9" s="1"/>
  <c r="S123" i="9" s="1"/>
  <c r="W123" i="9"/>
  <c r="AA123" i="9" s="1"/>
  <c r="X123" i="9"/>
  <c r="AB123" i="9" s="1"/>
  <c r="Z94" i="7"/>
  <c r="AA94" i="7"/>
  <c r="H76" i="9"/>
  <c r="S76" i="7"/>
  <c r="W76" i="7" s="1"/>
  <c r="U76" i="7"/>
  <c r="Y76" i="7" s="1"/>
  <c r="T76" i="7"/>
  <c r="X76" i="7" s="1"/>
  <c r="R76" i="7"/>
  <c r="V76" i="7" s="1"/>
  <c r="G26" i="8"/>
  <c r="G27" i="8"/>
  <c r="H143" i="9"/>
  <c r="T143" i="7"/>
  <c r="X143" i="7" s="1"/>
  <c r="U143" i="7"/>
  <c r="Y143" i="7" s="1"/>
  <c r="R143" i="7"/>
  <c r="V143" i="7" s="1"/>
  <c r="S143" i="7"/>
  <c r="W143" i="7" s="1"/>
  <c r="AB29" i="9"/>
  <c r="Z115" i="7"/>
  <c r="AA115" i="7"/>
  <c r="AB115" i="7" s="1"/>
  <c r="Z99" i="7"/>
  <c r="AA99" i="7"/>
  <c r="AB99" i="7" s="1"/>
  <c r="Q125" i="9"/>
  <c r="R122" i="9"/>
  <c r="U10" i="9"/>
  <c r="Y10" i="9" s="1"/>
  <c r="V10" i="9"/>
  <c r="Z10" i="9" s="1"/>
  <c r="M10" i="9"/>
  <c r="Q10" i="9" s="1"/>
  <c r="X10" i="9"/>
  <c r="AB10" i="9" s="1"/>
  <c r="K10" i="9"/>
  <c r="O10" i="9" s="1"/>
  <c r="N10" i="9"/>
  <c r="R10" i="9" s="1"/>
  <c r="W10" i="9"/>
  <c r="AA10" i="9" s="1"/>
  <c r="L10" i="9"/>
  <c r="P10" i="9" s="1"/>
  <c r="AB47" i="9"/>
  <c r="R142" i="9"/>
  <c r="V20" i="9"/>
  <c r="Z20" i="9" s="1"/>
  <c r="U20" i="9"/>
  <c r="Y20" i="9" s="1"/>
  <c r="X20" i="9"/>
  <c r="AB20" i="9" s="1"/>
  <c r="W20" i="9"/>
  <c r="AA20" i="9" s="1"/>
  <c r="K20" i="9"/>
  <c r="O20" i="9" s="1"/>
  <c r="M20" i="9"/>
  <c r="Q20" i="9" s="1"/>
  <c r="N20" i="9"/>
  <c r="R20" i="9" s="1"/>
  <c r="L20" i="9"/>
  <c r="P20" i="9" s="1"/>
  <c r="Z103" i="7"/>
  <c r="AA103" i="7"/>
  <c r="AB103" i="7" s="1"/>
  <c r="Q48" i="9"/>
  <c r="W118" i="9"/>
  <c r="AA118" i="9" s="1"/>
  <c r="X118" i="9"/>
  <c r="AB118" i="9" s="1"/>
  <c r="N118" i="9"/>
  <c r="R118" i="9" s="1"/>
  <c r="U118" i="9"/>
  <c r="Y118" i="9" s="1"/>
  <c r="AC118" i="9" s="1"/>
  <c r="M118" i="9"/>
  <c r="Q118" i="9" s="1"/>
  <c r="L118" i="9"/>
  <c r="P118" i="9" s="1"/>
  <c r="V118" i="9"/>
  <c r="Z118" i="9" s="1"/>
  <c r="K118" i="9"/>
  <c r="O118" i="9" s="1"/>
  <c r="U63" i="10"/>
  <c r="T63" i="10" s="1"/>
  <c r="W87" i="10"/>
  <c r="V87" i="10" s="1"/>
  <c r="Q52" i="9" l="1"/>
  <c r="Q70" i="9"/>
  <c r="R179" i="9"/>
  <c r="U87" i="10"/>
  <c r="T81" i="10"/>
  <c r="AA158" i="9"/>
  <c r="Z158" i="7"/>
  <c r="AA158" i="7"/>
  <c r="AB158" i="7" s="1"/>
  <c r="I119" i="9"/>
  <c r="AD119" i="7"/>
  <c r="AE119" i="7" s="1"/>
  <c r="L147" i="9"/>
  <c r="P147" i="9" s="1"/>
  <c r="N147" i="9"/>
  <c r="R147" i="9" s="1"/>
  <c r="M147" i="9"/>
  <c r="X147" i="9"/>
  <c r="V147" i="9"/>
  <c r="Z147" i="9" s="1"/>
  <c r="K147" i="9"/>
  <c r="O147" i="9" s="1"/>
  <c r="W147" i="9"/>
  <c r="AA147" i="9" s="1"/>
  <c r="U147" i="9"/>
  <c r="Y147" i="9" s="1"/>
  <c r="S120" i="9"/>
  <c r="S37" i="9"/>
  <c r="U95" i="9"/>
  <c r="Y95" i="9" s="1"/>
  <c r="AC95" i="9" s="1"/>
  <c r="V95" i="9"/>
  <c r="Z95" i="9" s="1"/>
  <c r="M95" i="9"/>
  <c r="Q95" i="9" s="1"/>
  <c r="L95" i="9"/>
  <c r="P95" i="9" s="1"/>
  <c r="X95" i="9"/>
  <c r="AB95" i="9" s="1"/>
  <c r="W95" i="9"/>
  <c r="N95" i="9"/>
  <c r="R95" i="9" s="1"/>
  <c r="K95" i="9"/>
  <c r="O95" i="9" s="1"/>
  <c r="S95" i="9" s="1"/>
  <c r="AD95" i="9" s="1"/>
  <c r="AE95" i="9" s="1"/>
  <c r="AC145" i="9"/>
  <c r="I183" i="9"/>
  <c r="AD183" i="7"/>
  <c r="AE183" i="7" s="1"/>
  <c r="S126" i="9"/>
  <c r="Z78" i="7"/>
  <c r="AA78" i="7"/>
  <c r="AB78" i="7" s="1"/>
  <c r="X76" i="9"/>
  <c r="AB76" i="9" s="1"/>
  <c r="K76" i="9"/>
  <c r="O76" i="9" s="1"/>
  <c r="V76" i="9"/>
  <c r="Z76" i="9" s="1"/>
  <c r="U76" i="9"/>
  <c r="Y76" i="9" s="1"/>
  <c r="M76" i="9"/>
  <c r="W76" i="9"/>
  <c r="N76" i="9"/>
  <c r="L76" i="9"/>
  <c r="P76" i="9" s="1"/>
  <c r="I161" i="9"/>
  <c r="AF161" i="9" s="1"/>
  <c r="AD161" i="7"/>
  <c r="AE161" i="7" s="1"/>
  <c r="I42" i="9"/>
  <c r="AD42" i="7"/>
  <c r="AE42" i="7" s="1"/>
  <c r="Z86" i="7"/>
  <c r="AA86" i="7"/>
  <c r="AB86" i="7" s="1"/>
  <c r="AB136" i="7"/>
  <c r="S73" i="9"/>
  <c r="AB22" i="7"/>
  <c r="W137" i="9"/>
  <c r="AA137" i="9" s="1"/>
  <c r="V137" i="9"/>
  <c r="Z137" i="9" s="1"/>
  <c r="M137" i="9"/>
  <c r="L137" i="9"/>
  <c r="P137" i="9" s="1"/>
  <c r="N137" i="9"/>
  <c r="K137" i="9"/>
  <c r="O137" i="9" s="1"/>
  <c r="U137" i="9"/>
  <c r="Y137" i="9" s="1"/>
  <c r="X137" i="9"/>
  <c r="AB137" i="9" s="1"/>
  <c r="H28" i="8"/>
  <c r="B37" i="8" s="1"/>
  <c r="AC40" i="9"/>
  <c r="S7" i="9"/>
  <c r="M74" i="9"/>
  <c r="Q74" i="9" s="1"/>
  <c r="L74" i="9"/>
  <c r="P74" i="9" s="1"/>
  <c r="K74" i="9"/>
  <c r="O74" i="9" s="1"/>
  <c r="N74" i="9"/>
  <c r="R74" i="9" s="1"/>
  <c r="X74" i="9"/>
  <c r="AB74" i="9" s="1"/>
  <c r="V74" i="9"/>
  <c r="Z74" i="9" s="1"/>
  <c r="W74" i="9"/>
  <c r="AA74" i="9" s="1"/>
  <c r="U74" i="9"/>
  <c r="Y74" i="9" s="1"/>
  <c r="AA95" i="9"/>
  <c r="AC24" i="9"/>
  <c r="AD24" i="9" s="1"/>
  <c r="AE24" i="9" s="1"/>
  <c r="Z80" i="7"/>
  <c r="AA80" i="7"/>
  <c r="AB80" i="7" s="1"/>
  <c r="Z170" i="7"/>
  <c r="AA170" i="7"/>
  <c r="AB170" i="7" s="1"/>
  <c r="AC36" i="9"/>
  <c r="V61" i="10"/>
  <c r="U60" i="10" s="1"/>
  <c r="T59" i="10" s="1"/>
  <c r="S100" i="9"/>
  <c r="S110" i="9"/>
  <c r="AD110" i="9" s="1"/>
  <c r="AE110" i="9" s="1"/>
  <c r="AC114" i="9"/>
  <c r="Z82" i="7"/>
  <c r="AA82" i="7"/>
  <c r="AB19" i="7"/>
  <c r="AC34" i="9"/>
  <c r="AC124" i="9"/>
  <c r="F28" i="8"/>
  <c r="S83" i="9"/>
  <c r="W90" i="9"/>
  <c r="AA90" i="9" s="1"/>
  <c r="M90" i="9"/>
  <c r="Q90" i="9" s="1"/>
  <c r="K90" i="9"/>
  <c r="O90" i="9" s="1"/>
  <c r="L90" i="9"/>
  <c r="P90" i="9" s="1"/>
  <c r="N90" i="9"/>
  <c r="R90" i="9" s="1"/>
  <c r="U90" i="9"/>
  <c r="Y90" i="9" s="1"/>
  <c r="X90" i="9"/>
  <c r="AB90" i="9" s="1"/>
  <c r="V90" i="9"/>
  <c r="Z90" i="9" s="1"/>
  <c r="AB16" i="7"/>
  <c r="AC6" i="9"/>
  <c r="S160" i="9"/>
  <c r="AD160" i="9" s="1"/>
  <c r="AE160" i="9" s="1"/>
  <c r="S13" i="9"/>
  <c r="AD13" i="9" s="1"/>
  <c r="AE13" i="9" s="1"/>
  <c r="AB117" i="7"/>
  <c r="L75" i="9"/>
  <c r="P75" i="9" s="1"/>
  <c r="V75" i="9"/>
  <c r="Z75" i="9" s="1"/>
  <c r="K75" i="9"/>
  <c r="O75" i="9" s="1"/>
  <c r="S75" i="9" s="1"/>
  <c r="M75" i="9"/>
  <c r="Q75" i="9" s="1"/>
  <c r="U75" i="9"/>
  <c r="Y75" i="9" s="1"/>
  <c r="AC75" i="9" s="1"/>
  <c r="N75" i="9"/>
  <c r="R75" i="9" s="1"/>
  <c r="W75" i="9"/>
  <c r="AA75" i="9" s="1"/>
  <c r="X75" i="9"/>
  <c r="AB75" i="9" s="1"/>
  <c r="AB12" i="7"/>
  <c r="AC101" i="9"/>
  <c r="R88" i="10"/>
  <c r="Q88" i="10" s="1"/>
  <c r="S5" i="9"/>
  <c r="AC104" i="9"/>
  <c r="S106" i="9"/>
  <c r="AC161" i="9"/>
  <c r="S53" i="9"/>
  <c r="AD53" i="9" s="1"/>
  <c r="AE53" i="9" s="1"/>
  <c r="AG165" i="9"/>
  <c r="AC55" i="9"/>
  <c r="T92" i="10"/>
  <c r="S91" i="10" s="1"/>
  <c r="R90" i="10" s="1"/>
  <c r="Q89" i="10" s="1"/>
  <c r="AC69" i="9"/>
  <c r="W87" i="9"/>
  <c r="AA87" i="9" s="1"/>
  <c r="K87" i="9"/>
  <c r="O87" i="9" s="1"/>
  <c r="U87" i="9"/>
  <c r="Y87" i="9" s="1"/>
  <c r="X87" i="9"/>
  <c r="AB87" i="9" s="1"/>
  <c r="M87" i="9"/>
  <c r="Q87" i="9" s="1"/>
  <c r="V87" i="9"/>
  <c r="Z87" i="9" s="1"/>
  <c r="N87" i="9"/>
  <c r="R87" i="9" s="1"/>
  <c r="L87" i="9"/>
  <c r="P87" i="9" s="1"/>
  <c r="AC27" i="9"/>
  <c r="I63" i="9"/>
  <c r="AF63" i="9" s="1"/>
  <c r="AD63" i="7"/>
  <c r="AE63" i="7" s="1"/>
  <c r="AD164" i="9"/>
  <c r="AE164" i="9" s="1"/>
  <c r="S18" i="9"/>
  <c r="AC23" i="9"/>
  <c r="AB35" i="7"/>
  <c r="S11" i="9"/>
  <c r="AC99" i="9"/>
  <c r="S183" i="9"/>
  <c r="Q89" i="9"/>
  <c r="AC144" i="9"/>
  <c r="R62" i="9"/>
  <c r="I173" i="9"/>
  <c r="AF173" i="9" s="1"/>
  <c r="AD173" i="7"/>
  <c r="AE173" i="7" s="1"/>
  <c r="AB59" i="7"/>
  <c r="S163" i="9"/>
  <c r="AB126" i="7"/>
  <c r="AD186" i="9"/>
  <c r="AE186" i="9" s="1"/>
  <c r="AG186" i="9" s="1"/>
  <c r="AC32" i="9"/>
  <c r="I21" i="9"/>
  <c r="AD21" i="7"/>
  <c r="AE21" i="7" s="1"/>
  <c r="U61" i="10"/>
  <c r="T60" i="10" s="1"/>
  <c r="S59" i="10" s="1"/>
  <c r="I107" i="9"/>
  <c r="AD107" i="7"/>
  <c r="AE107" i="7" s="1"/>
  <c r="AC111" i="9"/>
  <c r="I43" i="9"/>
  <c r="AD43" i="7"/>
  <c r="AE43" i="7" s="1"/>
  <c r="L170" i="9"/>
  <c r="P170" i="9" s="1"/>
  <c r="K170" i="9"/>
  <c r="O170" i="9" s="1"/>
  <c r="W170" i="9"/>
  <c r="M170" i="9"/>
  <c r="Q170" i="9" s="1"/>
  <c r="V170" i="9"/>
  <c r="Z170" i="9" s="1"/>
  <c r="N170" i="9"/>
  <c r="R170" i="9" s="1"/>
  <c r="U170" i="9"/>
  <c r="Y170" i="9" s="1"/>
  <c r="AC170" i="9" s="1"/>
  <c r="X170" i="9"/>
  <c r="AB170" i="9" s="1"/>
  <c r="S26" i="9"/>
  <c r="AC67" i="9"/>
  <c r="S63" i="10"/>
  <c r="AB167" i="7"/>
  <c r="AB67" i="7"/>
  <c r="AG173" i="9"/>
  <c r="AB142" i="7"/>
  <c r="N81" i="9"/>
  <c r="M81" i="9"/>
  <c r="V81" i="9"/>
  <c r="Z81" i="9" s="1"/>
  <c r="L81" i="9"/>
  <c r="P81" i="9" s="1"/>
  <c r="X81" i="9"/>
  <c r="AB81" i="9" s="1"/>
  <c r="K81" i="9"/>
  <c r="O81" i="9" s="1"/>
  <c r="W81" i="9"/>
  <c r="AA81" i="9" s="1"/>
  <c r="U81" i="9"/>
  <c r="Y81" i="9" s="1"/>
  <c r="I125" i="9"/>
  <c r="AD125" i="7"/>
  <c r="AE125" i="7" s="1"/>
  <c r="S57" i="9"/>
  <c r="AC4" i="9"/>
  <c r="Z52" i="7"/>
  <c r="AA52" i="7"/>
  <c r="I26" i="9"/>
  <c r="AD26" i="7"/>
  <c r="AE26" i="7" s="1"/>
  <c r="AC134" i="9"/>
  <c r="I112" i="9"/>
  <c r="AD112" i="7"/>
  <c r="AE112" i="7" s="1"/>
  <c r="AC130" i="9"/>
  <c r="Q97" i="9"/>
  <c r="AA143" i="9"/>
  <c r="Z92" i="7"/>
  <c r="AA92" i="7"/>
  <c r="AB92" i="7" s="1"/>
  <c r="I116" i="9"/>
  <c r="AD116" i="7"/>
  <c r="AE116" i="7" s="1"/>
  <c r="AC44" i="9"/>
  <c r="L77" i="9"/>
  <c r="P77" i="9" s="1"/>
  <c r="W77" i="9"/>
  <c r="N77" i="9"/>
  <c r="K77" i="9"/>
  <c r="O77" i="9" s="1"/>
  <c r="X77" i="9"/>
  <c r="AB77" i="9" s="1"/>
  <c r="V77" i="9"/>
  <c r="Z77" i="9" s="1"/>
  <c r="M77" i="9"/>
  <c r="U77" i="9"/>
  <c r="Y77" i="9" s="1"/>
  <c r="S55" i="9"/>
  <c r="AD55" i="9" s="1"/>
  <c r="AE55" i="9" s="1"/>
  <c r="AG55" i="9" s="1"/>
  <c r="I83" i="9"/>
  <c r="AD83" i="7"/>
  <c r="AE83" i="7" s="1"/>
  <c r="S61" i="9"/>
  <c r="AD61" i="9" s="1"/>
  <c r="AE61" i="9" s="1"/>
  <c r="I178" i="9"/>
  <c r="AD178" i="7"/>
  <c r="AE178" i="7" s="1"/>
  <c r="S136" i="9"/>
  <c r="I34" i="9"/>
  <c r="AD34" i="7"/>
  <c r="AE34" i="7" s="1"/>
  <c r="I9" i="9"/>
  <c r="AD9" i="7"/>
  <c r="AE9" i="7" s="1"/>
  <c r="I106" i="9"/>
  <c r="AD106" i="7"/>
  <c r="AE106" i="7" s="1"/>
  <c r="I156" i="9"/>
  <c r="AD156" i="7"/>
  <c r="AE156" i="7" s="1"/>
  <c r="AC31" i="9"/>
  <c r="K96" i="9"/>
  <c r="O96" i="9" s="1"/>
  <c r="S96" i="9" s="1"/>
  <c r="X96" i="9"/>
  <c r="AB96" i="9" s="1"/>
  <c r="N96" i="9"/>
  <c r="L96" i="9"/>
  <c r="P96" i="9" s="1"/>
  <c r="M96" i="9"/>
  <c r="V96" i="9"/>
  <c r="Z96" i="9" s="1"/>
  <c r="U96" i="9"/>
  <c r="Y96" i="9" s="1"/>
  <c r="W96" i="9"/>
  <c r="AA96" i="9" s="1"/>
  <c r="I127" i="9"/>
  <c r="AD127" i="7"/>
  <c r="AE127" i="7" s="1"/>
  <c r="AD175" i="9"/>
  <c r="AE175" i="9" s="1"/>
  <c r="AC107" i="9"/>
  <c r="I46" i="9"/>
  <c r="AD46" i="7"/>
  <c r="AE46" i="7" s="1"/>
  <c r="S94" i="9"/>
  <c r="AD94" i="9" s="1"/>
  <c r="AE94" i="9" s="1"/>
  <c r="Z171" i="7"/>
  <c r="AA171" i="7"/>
  <c r="AB171" i="7" s="1"/>
  <c r="S23" i="9"/>
  <c r="AD23" i="9" s="1"/>
  <c r="AE23" i="9" s="1"/>
  <c r="I55" i="9"/>
  <c r="AD55" i="7"/>
  <c r="AE55" i="7" s="1"/>
  <c r="S71" i="9"/>
  <c r="I39" i="9"/>
  <c r="AD39" i="7"/>
  <c r="AE39" i="7" s="1"/>
  <c r="S108" i="9"/>
  <c r="S14" i="9"/>
  <c r="AD14" i="9" s="1"/>
  <c r="AE14" i="9" s="1"/>
  <c r="AC22" i="9"/>
  <c r="I44" i="9"/>
  <c r="AD44" i="7"/>
  <c r="AE44" i="7" s="1"/>
  <c r="R137" i="9"/>
  <c r="S153" i="9"/>
  <c r="S119" i="9"/>
  <c r="AD119" i="9" s="1"/>
  <c r="AE119" i="9" s="1"/>
  <c r="AG119" i="9" s="1"/>
  <c r="L70" i="9"/>
  <c r="P70" i="9" s="1"/>
  <c r="X70" i="9"/>
  <c r="N70" i="9"/>
  <c r="R70" i="9" s="1"/>
  <c r="V70" i="9"/>
  <c r="Z70" i="9" s="1"/>
  <c r="M70" i="9"/>
  <c r="W70" i="9"/>
  <c r="K70" i="9"/>
  <c r="O70" i="9" s="1"/>
  <c r="U70" i="9"/>
  <c r="Y70" i="9" s="1"/>
  <c r="Z89" i="7"/>
  <c r="AA89" i="7"/>
  <c r="AC186" i="9"/>
  <c r="AC49" i="9"/>
  <c r="I144" i="9"/>
  <c r="AD144" i="7"/>
  <c r="AE144" i="7" s="1"/>
  <c r="AC58" i="9"/>
  <c r="AC83" i="9"/>
  <c r="I58" i="9"/>
  <c r="AF58" i="9" s="1"/>
  <c r="AD58" i="7"/>
  <c r="AE58" i="7" s="1"/>
  <c r="W168" i="9"/>
  <c r="U168" i="9"/>
  <c r="Y168" i="9" s="1"/>
  <c r="L168" i="9"/>
  <c r="P168" i="9" s="1"/>
  <c r="K168" i="9"/>
  <c r="O168" i="9" s="1"/>
  <c r="N168" i="9"/>
  <c r="X168" i="9"/>
  <c r="AB168" i="9" s="1"/>
  <c r="M168" i="9"/>
  <c r="Q168" i="9" s="1"/>
  <c r="V168" i="9"/>
  <c r="Z168" i="9" s="1"/>
  <c r="W86" i="10"/>
  <c r="V85" i="10" s="1"/>
  <c r="U84" i="10" s="1"/>
  <c r="T83" i="10" s="1"/>
  <c r="S82" i="10" s="1"/>
  <c r="AB120" i="7"/>
  <c r="S101" i="9"/>
  <c r="AD101" i="9" s="1"/>
  <c r="AE101" i="9" s="1"/>
  <c r="AB41" i="7"/>
  <c r="R97" i="9"/>
  <c r="AB118" i="7"/>
  <c r="AC146" i="9"/>
  <c r="AC105" i="9"/>
  <c r="S51" i="9"/>
  <c r="S148" i="9"/>
  <c r="Z88" i="7"/>
  <c r="AA88" i="7"/>
  <c r="AB88" i="7" s="1"/>
  <c r="Z133" i="7"/>
  <c r="AA133" i="7"/>
  <c r="I159" i="9"/>
  <c r="AD159" i="7"/>
  <c r="AE159" i="7" s="1"/>
  <c r="AA168" i="9"/>
  <c r="AB114" i="7"/>
  <c r="AC39" i="9"/>
  <c r="S43" i="9"/>
  <c r="AC72" i="9"/>
  <c r="Z152" i="7"/>
  <c r="AA152" i="7"/>
  <c r="AB53" i="7"/>
  <c r="S103" i="9"/>
  <c r="AD103" i="9" s="1"/>
  <c r="AE103" i="9" s="1"/>
  <c r="V171" i="9"/>
  <c r="Z171" i="9" s="1"/>
  <c r="L171" i="9"/>
  <c r="P171" i="9" s="1"/>
  <c r="U171" i="9"/>
  <c r="Y171" i="9" s="1"/>
  <c r="X171" i="9"/>
  <c r="AB171" i="9" s="1"/>
  <c r="W171" i="9"/>
  <c r="M171" i="9"/>
  <c r="N171" i="9"/>
  <c r="R171" i="9" s="1"/>
  <c r="K171" i="9"/>
  <c r="O171" i="9" s="1"/>
  <c r="AD159" i="9"/>
  <c r="AE159" i="9" s="1"/>
  <c r="AG159" i="9" s="1"/>
  <c r="AC59" i="9"/>
  <c r="AF151" i="9"/>
  <c r="AC65" i="9"/>
  <c r="S22" i="9"/>
  <c r="AD22" i="9" s="1"/>
  <c r="AE22" i="9" s="1"/>
  <c r="N60" i="9"/>
  <c r="U60" i="9"/>
  <c r="Y60" i="9" s="1"/>
  <c r="X60" i="9"/>
  <c r="AB60" i="9" s="1"/>
  <c r="K60" i="9"/>
  <c r="O60" i="9" s="1"/>
  <c r="W60" i="9"/>
  <c r="AA60" i="9" s="1"/>
  <c r="L60" i="9"/>
  <c r="P60" i="9" s="1"/>
  <c r="V60" i="9"/>
  <c r="Z60" i="9" s="1"/>
  <c r="M60" i="9"/>
  <c r="AC163" i="9"/>
  <c r="AB160" i="7"/>
  <c r="AB6" i="7"/>
  <c r="I5" i="9"/>
  <c r="AD5" i="7"/>
  <c r="AE5" i="7" s="1"/>
  <c r="AC10" i="9"/>
  <c r="AA170" i="9"/>
  <c r="AB109" i="7"/>
  <c r="AC112" i="9"/>
  <c r="X179" i="9"/>
  <c r="M179" i="9"/>
  <c r="Q179" i="9" s="1"/>
  <c r="L179" i="9"/>
  <c r="P179" i="9" s="1"/>
  <c r="W179" i="9"/>
  <c r="K179" i="9"/>
  <c r="O179" i="9" s="1"/>
  <c r="V179" i="9"/>
  <c r="Z179" i="9" s="1"/>
  <c r="U179" i="9"/>
  <c r="Y179" i="9" s="1"/>
  <c r="N179" i="9"/>
  <c r="L158" i="9"/>
  <c r="P158" i="9" s="1"/>
  <c r="K158" i="9"/>
  <c r="O158" i="9" s="1"/>
  <c r="S158" i="9" s="1"/>
  <c r="V158" i="9"/>
  <c r="Z158" i="9" s="1"/>
  <c r="U158" i="9"/>
  <c r="Y158" i="9" s="1"/>
  <c r="N158" i="9"/>
  <c r="X158" i="9"/>
  <c r="AB158" i="9" s="1"/>
  <c r="M158" i="9"/>
  <c r="W158" i="9"/>
  <c r="AC182" i="9"/>
  <c r="S113" i="9"/>
  <c r="AA82" i="9"/>
  <c r="AB23" i="7"/>
  <c r="S67" i="9"/>
  <c r="AD67" i="9" s="1"/>
  <c r="AE67" i="9" s="1"/>
  <c r="Z50" i="7"/>
  <c r="AA50" i="7"/>
  <c r="AB50" i="7" s="1"/>
  <c r="U85" i="9"/>
  <c r="Y85" i="9" s="1"/>
  <c r="L85" i="9"/>
  <c r="P85" i="9" s="1"/>
  <c r="W85" i="9"/>
  <c r="AA85" i="9" s="1"/>
  <c r="V85" i="9"/>
  <c r="Z85" i="9" s="1"/>
  <c r="N85" i="9"/>
  <c r="R85" i="9" s="1"/>
  <c r="M85" i="9"/>
  <c r="Q85" i="9" s="1"/>
  <c r="K85" i="9"/>
  <c r="O85" i="9" s="1"/>
  <c r="X85" i="9"/>
  <c r="AB85" i="9" s="1"/>
  <c r="AC132" i="9"/>
  <c r="AD132" i="9" s="1"/>
  <c r="AE132" i="9" s="1"/>
  <c r="AG132" i="9" s="1"/>
  <c r="AB177" i="7"/>
  <c r="AB73" i="7"/>
  <c r="S124" i="9"/>
  <c r="AD124" i="9" s="1"/>
  <c r="AE124" i="9" s="1"/>
  <c r="AG124" i="9" s="1"/>
  <c r="AC120" i="9"/>
  <c r="Z95" i="7"/>
  <c r="AA95" i="7"/>
  <c r="AB95" i="7" s="1"/>
  <c r="AB135" i="7"/>
  <c r="AC30" i="9"/>
  <c r="AB32" i="7"/>
  <c r="Q81" i="9"/>
  <c r="S125" i="9"/>
  <c r="AD125" i="9" s="1"/>
  <c r="AE125" i="9" s="1"/>
  <c r="AG125" i="9" s="1"/>
  <c r="S16" i="9"/>
  <c r="AD16" i="9" s="1"/>
  <c r="AE16" i="9" s="1"/>
  <c r="AC29" i="9"/>
  <c r="AB7" i="7"/>
  <c r="AC160" i="9"/>
  <c r="AB29" i="7"/>
  <c r="W58" i="10"/>
  <c r="S46" i="9"/>
  <c r="AD46" i="9" s="1"/>
  <c r="AE46" i="9" s="1"/>
  <c r="AG46" i="9" s="1"/>
  <c r="K52" i="9"/>
  <c r="O52" i="9" s="1"/>
  <c r="S52" i="9" s="1"/>
  <c r="AD52" i="9" s="1"/>
  <c r="AE52" i="9" s="1"/>
  <c r="U52" i="9"/>
  <c r="Y52" i="9" s="1"/>
  <c r="AC52" i="9" s="1"/>
  <c r="L52" i="9"/>
  <c r="P52" i="9" s="1"/>
  <c r="M52" i="9"/>
  <c r="X52" i="9"/>
  <c r="N52" i="9"/>
  <c r="R52" i="9" s="1"/>
  <c r="V52" i="9"/>
  <c r="Z52" i="9" s="1"/>
  <c r="W52" i="9"/>
  <c r="AA52" i="9" s="1"/>
  <c r="AC9" i="9"/>
  <c r="AD9" i="9" s="1"/>
  <c r="AE9" i="9" s="1"/>
  <c r="AG9" i="9" s="1"/>
  <c r="S91" i="9"/>
  <c r="AD91" i="9" s="1"/>
  <c r="AE91" i="9" s="1"/>
  <c r="AD134" i="9"/>
  <c r="AE134" i="9" s="1"/>
  <c r="AB49" i="7"/>
  <c r="AD115" i="9"/>
  <c r="AE115" i="9" s="1"/>
  <c r="Z84" i="7"/>
  <c r="AA84" i="7"/>
  <c r="S47" i="9"/>
  <c r="AD47" i="9" s="1"/>
  <c r="AE47" i="9" s="1"/>
  <c r="S44" i="9"/>
  <c r="AD44" i="9" s="1"/>
  <c r="AE44" i="9" s="1"/>
  <c r="AG44" i="9" s="1"/>
  <c r="Q149" i="9"/>
  <c r="S15" i="9"/>
  <c r="Z185" i="7"/>
  <c r="AA185" i="7"/>
  <c r="AB185" i="7" s="1"/>
  <c r="X133" i="9"/>
  <c r="AB133" i="9" s="1"/>
  <c r="N133" i="9"/>
  <c r="R133" i="9" s="1"/>
  <c r="L133" i="9"/>
  <c r="P133" i="9" s="1"/>
  <c r="W133" i="9"/>
  <c r="AA133" i="9" s="1"/>
  <c r="M133" i="9"/>
  <c r="Q133" i="9" s="1"/>
  <c r="K133" i="9"/>
  <c r="O133" i="9" s="1"/>
  <c r="U133" i="9"/>
  <c r="Y133" i="9" s="1"/>
  <c r="V133" i="9"/>
  <c r="Z133" i="9" s="1"/>
  <c r="S161" i="9"/>
  <c r="AD161" i="9" s="1"/>
  <c r="AE161" i="9" s="1"/>
  <c r="AB30" i="7"/>
  <c r="E28" i="8"/>
  <c r="B35" i="8" s="1"/>
  <c r="B13" i="11" s="1"/>
  <c r="S69" i="9"/>
  <c r="AD69" i="9" s="1"/>
  <c r="AE69" i="9" s="1"/>
  <c r="AB129" i="7"/>
  <c r="M152" i="9"/>
  <c r="Q152" i="9" s="1"/>
  <c r="V152" i="9"/>
  <c r="Z152" i="9" s="1"/>
  <c r="L152" i="9"/>
  <c r="P152" i="9" s="1"/>
  <c r="K152" i="9"/>
  <c r="O152" i="9" s="1"/>
  <c r="U152" i="9"/>
  <c r="Y152" i="9" s="1"/>
  <c r="X152" i="9"/>
  <c r="AB152" i="9" s="1"/>
  <c r="N152" i="9"/>
  <c r="R152" i="9" s="1"/>
  <c r="W152" i="9"/>
  <c r="AA152" i="9" s="1"/>
  <c r="AB105" i="7"/>
  <c r="Z141" i="7"/>
  <c r="AA141" i="7"/>
  <c r="AB141" i="7" s="1"/>
  <c r="S48" i="9"/>
  <c r="AD48" i="9" s="1"/>
  <c r="AE48" i="9" s="1"/>
  <c r="I91" i="9"/>
  <c r="AF91" i="9" s="1"/>
  <c r="AD91" i="7"/>
  <c r="AE91" i="7" s="1"/>
  <c r="S45" i="9"/>
  <c r="AC119" i="9"/>
  <c r="S162" i="9"/>
  <c r="S28" i="9"/>
  <c r="S112" i="9"/>
  <c r="S25" i="9"/>
  <c r="Z85" i="7"/>
  <c r="AA85" i="7"/>
  <c r="S114" i="9"/>
  <c r="AD114" i="9" s="1"/>
  <c r="AE114" i="9" s="1"/>
  <c r="Z143" i="7"/>
  <c r="AA143" i="7"/>
  <c r="S20" i="9"/>
  <c r="S19" i="9"/>
  <c r="I54" i="9"/>
  <c r="AF54" i="9" s="1"/>
  <c r="AD54" i="7"/>
  <c r="AE54" i="7" s="1"/>
  <c r="I45" i="9"/>
  <c r="AD45" i="7"/>
  <c r="AE45" i="7" s="1"/>
  <c r="Z56" i="7"/>
  <c r="AA56" i="7"/>
  <c r="Z98" i="7"/>
  <c r="AA98" i="7"/>
  <c r="AG154" i="9"/>
  <c r="AD146" i="9"/>
  <c r="AE146" i="9" s="1"/>
  <c r="AG146" i="9" s="1"/>
  <c r="K84" i="9"/>
  <c r="O84" i="9" s="1"/>
  <c r="W84" i="9"/>
  <c r="AA84" i="9" s="1"/>
  <c r="M84" i="9"/>
  <c r="N84" i="9"/>
  <c r="R84" i="9" s="1"/>
  <c r="X84" i="9"/>
  <c r="AB84" i="9" s="1"/>
  <c r="U84" i="9"/>
  <c r="Y84" i="9" s="1"/>
  <c r="V84" i="9"/>
  <c r="Z84" i="9" s="1"/>
  <c r="L84" i="9"/>
  <c r="P84" i="9" s="1"/>
  <c r="S35" i="9"/>
  <c r="AD35" i="9" s="1"/>
  <c r="AE35" i="9" s="1"/>
  <c r="K88" i="9"/>
  <c r="O88" i="9" s="1"/>
  <c r="M88" i="9"/>
  <c r="Q88" i="9" s="1"/>
  <c r="V88" i="9"/>
  <c r="Z88" i="9" s="1"/>
  <c r="N88" i="9"/>
  <c r="U88" i="9"/>
  <c r="Y88" i="9" s="1"/>
  <c r="L88" i="9"/>
  <c r="P88" i="9" s="1"/>
  <c r="X88" i="9"/>
  <c r="AB88" i="9" s="1"/>
  <c r="W88" i="9"/>
  <c r="AA88" i="9" s="1"/>
  <c r="I102" i="9"/>
  <c r="AD102" i="7"/>
  <c r="AE102" i="7" s="1"/>
  <c r="AD39" i="9"/>
  <c r="AE39" i="9" s="1"/>
  <c r="AG39" i="9" s="1"/>
  <c r="I104" i="9"/>
  <c r="AF104" i="9" s="1"/>
  <c r="AD104" i="7"/>
  <c r="AE104" i="7" s="1"/>
  <c r="I37" i="9"/>
  <c r="AD37" i="7"/>
  <c r="AE37" i="7" s="1"/>
  <c r="AG63" i="9"/>
  <c r="I61" i="9"/>
  <c r="AF61" i="9" s="1"/>
  <c r="AD61" i="7"/>
  <c r="AE61" i="7" s="1"/>
  <c r="I38" i="9"/>
  <c r="AD38" i="7"/>
  <c r="AE38" i="7" s="1"/>
  <c r="AD107" i="9"/>
  <c r="AE107" i="9" s="1"/>
  <c r="AG107" i="9" s="1"/>
  <c r="I124" i="9"/>
  <c r="AD124" i="7"/>
  <c r="AE124" i="7" s="1"/>
  <c r="Z174" i="7"/>
  <c r="AA174" i="7"/>
  <c r="S65" i="9"/>
  <c r="I27" i="9"/>
  <c r="AF27" i="9" s="1"/>
  <c r="AD27" i="7"/>
  <c r="AE27" i="7" s="1"/>
  <c r="AD177" i="9"/>
  <c r="AE177" i="9" s="1"/>
  <c r="Z93" i="7"/>
  <c r="AA93" i="7"/>
  <c r="AB93" i="7" s="1"/>
  <c r="AC45" i="9"/>
  <c r="I154" i="9"/>
  <c r="AF154" i="9" s="1"/>
  <c r="AD154" i="7"/>
  <c r="AE154" i="7" s="1"/>
  <c r="X79" i="9"/>
  <c r="AB79" i="9" s="1"/>
  <c r="W79" i="9"/>
  <c r="AA79" i="9" s="1"/>
  <c r="N79" i="9"/>
  <c r="R79" i="9" s="1"/>
  <c r="V79" i="9"/>
  <c r="Z79" i="9" s="1"/>
  <c r="U79" i="9"/>
  <c r="Y79" i="9" s="1"/>
  <c r="K79" i="9"/>
  <c r="O79" i="9" s="1"/>
  <c r="L79" i="9"/>
  <c r="P79" i="9" s="1"/>
  <c r="M79" i="9"/>
  <c r="Q79" i="9" s="1"/>
  <c r="S135" i="9"/>
  <c r="S81" i="10"/>
  <c r="I164" i="9"/>
  <c r="AF164" i="9" s="1"/>
  <c r="AD164" i="7"/>
  <c r="AE164" i="7" s="1"/>
  <c r="V150" i="9"/>
  <c r="Z150" i="9" s="1"/>
  <c r="L150" i="9"/>
  <c r="P150" i="9" s="1"/>
  <c r="M150" i="9"/>
  <c r="N150" i="9"/>
  <c r="R150" i="9" s="1"/>
  <c r="U150" i="9"/>
  <c r="Y150" i="9" s="1"/>
  <c r="X150" i="9"/>
  <c r="AB150" i="9" s="1"/>
  <c r="K150" i="9"/>
  <c r="O150" i="9" s="1"/>
  <c r="W150" i="9"/>
  <c r="AA150" i="9" s="1"/>
  <c r="K82" i="9"/>
  <c r="O82" i="9" s="1"/>
  <c r="V82" i="9"/>
  <c r="Z82" i="9" s="1"/>
  <c r="U82" i="9"/>
  <c r="Y82" i="9" s="1"/>
  <c r="W82" i="9"/>
  <c r="N82" i="9"/>
  <c r="X82" i="9"/>
  <c r="AB82" i="9" s="1"/>
  <c r="M82" i="9"/>
  <c r="Q82" i="9" s="1"/>
  <c r="L82" i="9"/>
  <c r="P82" i="9" s="1"/>
  <c r="I162" i="9"/>
  <c r="AD162" i="7"/>
  <c r="AE162" i="7" s="1"/>
  <c r="V86" i="10"/>
  <c r="U85" i="10" s="1"/>
  <c r="T84" i="10" s="1"/>
  <c r="S83" i="10" s="1"/>
  <c r="R82" i="10" s="1"/>
  <c r="Z149" i="7"/>
  <c r="AA149" i="7"/>
  <c r="AB149" i="7" s="1"/>
  <c r="AC180" i="9"/>
  <c r="S111" i="9"/>
  <c r="K50" i="9"/>
  <c r="O50" i="9" s="1"/>
  <c r="N50" i="9"/>
  <c r="R50" i="9" s="1"/>
  <c r="U50" i="9"/>
  <c r="Y50" i="9" s="1"/>
  <c r="W50" i="9"/>
  <c r="AA50" i="9" s="1"/>
  <c r="X50" i="9"/>
  <c r="AB50" i="9" s="1"/>
  <c r="V50" i="9"/>
  <c r="Z50" i="9" s="1"/>
  <c r="L50" i="9"/>
  <c r="P50" i="9" s="1"/>
  <c r="M50" i="9"/>
  <c r="Q50" i="9" s="1"/>
  <c r="I28" i="9"/>
  <c r="AD28" i="7"/>
  <c r="AE28" i="7" s="1"/>
  <c r="I10" i="9"/>
  <c r="AD10" i="7"/>
  <c r="AE10" i="7" s="1"/>
  <c r="S29" i="9"/>
  <c r="AD29" i="9" s="1"/>
  <c r="AE29" i="9" s="1"/>
  <c r="Z169" i="7"/>
  <c r="AA169" i="7"/>
  <c r="AC122" i="9"/>
  <c r="I145" i="9"/>
  <c r="AD145" i="7"/>
  <c r="AE145" i="7" s="1"/>
  <c r="Q158" i="9"/>
  <c r="AC46" i="9"/>
  <c r="AC102" i="9"/>
  <c r="Z66" i="7"/>
  <c r="AA66" i="7"/>
  <c r="AC91" i="9"/>
  <c r="Q77" i="9"/>
  <c r="Z75" i="7"/>
  <c r="AA75" i="7"/>
  <c r="AF128" i="9"/>
  <c r="AC127" i="9"/>
  <c r="AC126" i="9"/>
  <c r="AD155" i="9"/>
  <c r="AE155" i="9" s="1"/>
  <c r="AG155" i="9" s="1"/>
  <c r="I17" i="9"/>
  <c r="AD17" i="7"/>
  <c r="AE17" i="7" s="1"/>
  <c r="X92" i="9"/>
  <c r="K92" i="9"/>
  <c r="O92" i="9" s="1"/>
  <c r="M92" i="9"/>
  <c r="Q92" i="9" s="1"/>
  <c r="U92" i="9"/>
  <c r="Y92" i="9" s="1"/>
  <c r="N92" i="9"/>
  <c r="R92" i="9" s="1"/>
  <c r="W92" i="9"/>
  <c r="AA92" i="9" s="1"/>
  <c r="V92" i="9"/>
  <c r="Z92" i="9" s="1"/>
  <c r="L92" i="9"/>
  <c r="P92" i="9" s="1"/>
  <c r="AC51" i="9"/>
  <c r="AC35" i="9"/>
  <c r="AC148" i="9"/>
  <c r="R149" i="9"/>
  <c r="Z77" i="7"/>
  <c r="AA77" i="7"/>
  <c r="R96" i="9"/>
  <c r="V80" i="10"/>
  <c r="U79" i="10" s="1"/>
  <c r="S38" i="9"/>
  <c r="AD38" i="9" s="1"/>
  <c r="AE38" i="9" s="1"/>
  <c r="AG38" i="9" s="1"/>
  <c r="S27" i="9"/>
  <c r="AD27" i="9" s="1"/>
  <c r="AE27" i="9" s="1"/>
  <c r="AC136" i="9"/>
  <c r="Z184" i="7"/>
  <c r="AA184" i="7"/>
  <c r="AB184" i="7" s="1"/>
  <c r="AC43" i="9"/>
  <c r="I140" i="9"/>
  <c r="AF140" i="9" s="1"/>
  <c r="AD140" i="7"/>
  <c r="AE140" i="7" s="1"/>
  <c r="AC33" i="9"/>
  <c r="I25" i="9"/>
  <c r="AD25" i="7"/>
  <c r="AE25" i="7" s="1"/>
  <c r="Q60" i="9"/>
  <c r="AC18" i="9"/>
  <c r="S31" i="9"/>
  <c r="AD31" i="9" s="1"/>
  <c r="AE31" i="9" s="1"/>
  <c r="S42" i="9"/>
  <c r="AD42" i="9" s="1"/>
  <c r="AE42" i="9" s="1"/>
  <c r="AG42" i="9" s="1"/>
  <c r="M174" i="9"/>
  <c r="Q174" i="9" s="1"/>
  <c r="L174" i="9"/>
  <c r="P174" i="9" s="1"/>
  <c r="N174" i="9"/>
  <c r="R174" i="9" s="1"/>
  <c r="K174" i="9"/>
  <c r="O174" i="9" s="1"/>
  <c r="U174" i="9"/>
  <c r="Y174" i="9" s="1"/>
  <c r="V174" i="9"/>
  <c r="Z174" i="9" s="1"/>
  <c r="W174" i="9"/>
  <c r="AA174" i="9" s="1"/>
  <c r="X174" i="9"/>
  <c r="AB174" i="9" s="1"/>
  <c r="S109" i="9"/>
  <c r="I72" i="9"/>
  <c r="AD72" i="7"/>
  <c r="AE72" i="7" s="1"/>
  <c r="AC11" i="9"/>
  <c r="U141" i="9"/>
  <c r="Y141" i="9" s="1"/>
  <c r="L141" i="9"/>
  <c r="P141" i="9" s="1"/>
  <c r="W141" i="9"/>
  <c r="AA141" i="9" s="1"/>
  <c r="V141" i="9"/>
  <c r="Z141" i="9" s="1"/>
  <c r="N141" i="9"/>
  <c r="R141" i="9" s="1"/>
  <c r="K141" i="9"/>
  <c r="O141" i="9" s="1"/>
  <c r="X141" i="9"/>
  <c r="AB141" i="9" s="1"/>
  <c r="M141" i="9"/>
  <c r="Q141" i="9" s="1"/>
  <c r="AB70" i="9"/>
  <c r="I121" i="9"/>
  <c r="AD121" i="7"/>
  <c r="AE121" i="7" s="1"/>
  <c r="AA76" i="9"/>
  <c r="AC48" i="9"/>
  <c r="W93" i="9"/>
  <c r="AA93" i="9" s="1"/>
  <c r="M93" i="9"/>
  <c r="Q93" i="9" s="1"/>
  <c r="L93" i="9"/>
  <c r="P93" i="9" s="1"/>
  <c r="X93" i="9"/>
  <c r="AB93" i="9" s="1"/>
  <c r="N93" i="9"/>
  <c r="R93" i="9" s="1"/>
  <c r="K93" i="9"/>
  <c r="O93" i="9" s="1"/>
  <c r="V93" i="9"/>
  <c r="Z93" i="9" s="1"/>
  <c r="U93" i="9"/>
  <c r="Y93" i="9" s="1"/>
  <c r="AD157" i="9"/>
  <c r="AE157" i="9" s="1"/>
  <c r="AC162" i="9"/>
  <c r="AA179" i="9"/>
  <c r="AC12" i="9"/>
  <c r="I101" i="9"/>
  <c r="AF101" i="9" s="1"/>
  <c r="AD101" i="7"/>
  <c r="AE101" i="7" s="1"/>
  <c r="AC142" i="9"/>
  <c r="Z76" i="7"/>
  <c r="AA76" i="7"/>
  <c r="AB76" i="7" s="1"/>
  <c r="Z79" i="7"/>
  <c r="AA79" i="7"/>
  <c r="AB79" i="7" s="1"/>
  <c r="V97" i="9"/>
  <c r="Z97" i="9" s="1"/>
  <c r="K97" i="9"/>
  <c r="O97" i="9" s="1"/>
  <c r="U97" i="9"/>
  <c r="Y97" i="9" s="1"/>
  <c r="N97" i="9"/>
  <c r="M97" i="9"/>
  <c r="X97" i="9"/>
  <c r="AB97" i="9" s="1"/>
  <c r="L97" i="9"/>
  <c r="P97" i="9" s="1"/>
  <c r="W97" i="9"/>
  <c r="AA97" i="9" s="1"/>
  <c r="I148" i="9"/>
  <c r="AD148" i="7"/>
  <c r="AE148" i="7" s="1"/>
  <c r="I18" i="9"/>
  <c r="AD18" i="7"/>
  <c r="AE18" i="7" s="1"/>
  <c r="U80" i="10"/>
  <c r="T79" i="10" s="1"/>
  <c r="S36" i="9"/>
  <c r="AD36" i="9" s="1"/>
  <c r="AE36" i="9" s="1"/>
  <c r="M172" i="9"/>
  <c r="Q172" i="9" s="1"/>
  <c r="L172" i="9"/>
  <c r="P172" i="9" s="1"/>
  <c r="K172" i="9"/>
  <c r="O172" i="9" s="1"/>
  <c r="W172" i="9"/>
  <c r="AA172" i="9" s="1"/>
  <c r="N172" i="9"/>
  <c r="U172" i="9"/>
  <c r="Y172" i="9" s="1"/>
  <c r="V172" i="9"/>
  <c r="Z172" i="9" s="1"/>
  <c r="X172" i="9"/>
  <c r="AB172" i="9" s="1"/>
  <c r="T62" i="10"/>
  <c r="I71" i="9"/>
  <c r="AD71" i="7"/>
  <c r="AE71" i="7" s="1"/>
  <c r="S167" i="9"/>
  <c r="R172" i="9"/>
  <c r="X80" i="9"/>
  <c r="U80" i="9"/>
  <c r="Y80" i="9" s="1"/>
  <c r="M80" i="9"/>
  <c r="Q80" i="9" s="1"/>
  <c r="V80" i="9"/>
  <c r="Z80" i="9" s="1"/>
  <c r="W80" i="9"/>
  <c r="AA80" i="9" s="1"/>
  <c r="K80" i="9"/>
  <c r="O80" i="9" s="1"/>
  <c r="N80" i="9"/>
  <c r="R80" i="9" s="1"/>
  <c r="L80" i="9"/>
  <c r="P80" i="9" s="1"/>
  <c r="I20" i="9"/>
  <c r="AD20" i="7"/>
  <c r="AE20" i="7" s="1"/>
  <c r="Z62" i="7"/>
  <c r="AA62" i="7"/>
  <c r="AB62" i="7" s="1"/>
  <c r="S129" i="9"/>
  <c r="AD129" i="9" s="1"/>
  <c r="AE129" i="9" s="1"/>
  <c r="S122" i="9"/>
  <c r="AD122" i="9" s="1"/>
  <c r="AE122" i="9" s="1"/>
  <c r="I99" i="9"/>
  <c r="AF99" i="9" s="1"/>
  <c r="AD99" i="7"/>
  <c r="AE99" i="7" s="1"/>
  <c r="S32" i="9"/>
  <c r="Z74" i="7"/>
  <c r="AA74" i="7"/>
  <c r="AB74" i="7" s="1"/>
  <c r="AC25" i="9"/>
  <c r="Z131" i="7"/>
  <c r="AA131" i="7"/>
  <c r="AB131" i="7" s="1"/>
  <c r="AD165" i="7"/>
  <c r="AE165" i="7" s="1"/>
  <c r="I165" i="9"/>
  <c r="AF165" i="9" s="1"/>
  <c r="I186" i="9"/>
  <c r="AD186" i="7"/>
  <c r="AE186" i="7" s="1"/>
  <c r="Z139" i="7"/>
  <c r="AA139" i="7"/>
  <c r="AB139" i="7" s="1"/>
  <c r="S30" i="9"/>
  <c r="AD30" i="9" s="1"/>
  <c r="AE30" i="9" s="1"/>
  <c r="AC16" i="9"/>
  <c r="Z81" i="7"/>
  <c r="AA81" i="7"/>
  <c r="S10" i="9"/>
  <c r="AD10" i="9" s="1"/>
  <c r="AE10" i="9" s="1"/>
  <c r="AG10" i="9" s="1"/>
  <c r="M143" i="9"/>
  <c r="Q143" i="9" s="1"/>
  <c r="L143" i="9"/>
  <c r="P143" i="9" s="1"/>
  <c r="K143" i="9"/>
  <c r="O143" i="9" s="1"/>
  <c r="V143" i="9"/>
  <c r="Z143" i="9" s="1"/>
  <c r="N143" i="9"/>
  <c r="R143" i="9" s="1"/>
  <c r="W143" i="9"/>
  <c r="U143" i="9"/>
  <c r="Y143" i="9" s="1"/>
  <c r="X143" i="9"/>
  <c r="AB143" i="9" s="1"/>
  <c r="AB94" i="7"/>
  <c r="K89" i="9"/>
  <c r="O89" i="9" s="1"/>
  <c r="N89" i="9"/>
  <c r="R89" i="9" s="1"/>
  <c r="M89" i="9"/>
  <c r="L89" i="9"/>
  <c r="P89" i="9" s="1"/>
  <c r="W89" i="9"/>
  <c r="AA89" i="9" s="1"/>
  <c r="V89" i="9"/>
  <c r="Z89" i="9" s="1"/>
  <c r="X89" i="9"/>
  <c r="AB89" i="9" s="1"/>
  <c r="U89" i="9"/>
  <c r="Y89" i="9" s="1"/>
  <c r="AB14" i="7"/>
  <c r="AC167" i="9"/>
  <c r="AB80" i="9"/>
  <c r="S40" i="9"/>
  <c r="AD40" i="9" s="1"/>
  <c r="AE40" i="9" s="1"/>
  <c r="S182" i="9"/>
  <c r="AD182" i="9" s="1"/>
  <c r="AE182" i="9" s="1"/>
  <c r="S117" i="9"/>
  <c r="AD117" i="9" s="1"/>
  <c r="AE117" i="9" s="1"/>
  <c r="AB57" i="7"/>
  <c r="AC113" i="9"/>
  <c r="AB69" i="7"/>
  <c r="AB52" i="9"/>
  <c r="Z172" i="7"/>
  <c r="AA172" i="7"/>
  <c r="Q147" i="9"/>
  <c r="W131" i="9"/>
  <c r="AA131" i="9" s="1"/>
  <c r="V131" i="9"/>
  <c r="Z131" i="9" s="1"/>
  <c r="L131" i="9"/>
  <c r="P131" i="9" s="1"/>
  <c r="M131" i="9"/>
  <c r="Q131" i="9" s="1"/>
  <c r="K131" i="9"/>
  <c r="O131" i="9" s="1"/>
  <c r="U131" i="9"/>
  <c r="Y131" i="9" s="1"/>
  <c r="X131" i="9"/>
  <c r="AB131" i="9" s="1"/>
  <c r="N131" i="9"/>
  <c r="R131" i="9" s="1"/>
  <c r="AB180" i="7"/>
  <c r="S17" i="9"/>
  <c r="AD17" i="9" s="1"/>
  <c r="AE17" i="9" s="1"/>
  <c r="AG17" i="9" s="1"/>
  <c r="S64" i="9"/>
  <c r="AD64" i="9" s="1"/>
  <c r="AE64" i="9" s="1"/>
  <c r="Z150" i="7"/>
  <c r="AA150" i="7"/>
  <c r="AB150" i="7" s="1"/>
  <c r="Z68" i="7"/>
  <c r="AA68" i="7"/>
  <c r="AB108" i="7"/>
  <c r="S116" i="9"/>
  <c r="AD116" i="9" s="1"/>
  <c r="AE116" i="9" s="1"/>
  <c r="AG116" i="9" s="1"/>
  <c r="AC37" i="9"/>
  <c r="AB11" i="7"/>
  <c r="S41" i="9"/>
  <c r="AD41" i="9" s="1"/>
  <c r="AE41" i="9" s="1"/>
  <c r="S58" i="9"/>
  <c r="AD58" i="9" s="1"/>
  <c r="AE58" i="9" s="1"/>
  <c r="AC125" i="9"/>
  <c r="Z90" i="7"/>
  <c r="AA90" i="7"/>
  <c r="AB90" i="7" s="1"/>
  <c r="S6" i="9"/>
  <c r="AD6" i="9" s="1"/>
  <c r="AE6" i="9" s="1"/>
  <c r="S4" i="9"/>
  <c r="AD4" i="9" s="1"/>
  <c r="AE4" i="9" s="1"/>
  <c r="R158" i="9"/>
  <c r="Q84" i="9"/>
  <c r="AB92" i="9"/>
  <c r="K66" i="9"/>
  <c r="O66" i="9" s="1"/>
  <c r="W66" i="9"/>
  <c r="AA66" i="9" s="1"/>
  <c r="X66" i="9"/>
  <c r="AB66" i="9" s="1"/>
  <c r="N66" i="9"/>
  <c r="R66" i="9" s="1"/>
  <c r="V66" i="9"/>
  <c r="Z66" i="9" s="1"/>
  <c r="M66" i="9"/>
  <c r="Q66" i="9" s="1"/>
  <c r="U66" i="9"/>
  <c r="Y66" i="9" s="1"/>
  <c r="L66" i="9"/>
  <c r="P66" i="9" s="1"/>
  <c r="R88" i="9"/>
  <c r="AB153" i="7"/>
  <c r="AA77" i="9"/>
  <c r="AC156" i="9"/>
  <c r="AB24" i="7"/>
  <c r="AB100" i="7"/>
  <c r="AC5" i="9"/>
  <c r="AC47" i="9"/>
  <c r="V78" i="9"/>
  <c r="Z78" i="9" s="1"/>
  <c r="U78" i="9"/>
  <c r="Y78" i="9" s="1"/>
  <c r="AC78" i="9" s="1"/>
  <c r="K78" i="9"/>
  <c r="O78" i="9" s="1"/>
  <c r="L78" i="9"/>
  <c r="P78" i="9" s="1"/>
  <c r="M78" i="9"/>
  <c r="Q78" i="9" s="1"/>
  <c r="X78" i="9"/>
  <c r="AB78" i="9" s="1"/>
  <c r="N78" i="9"/>
  <c r="R78" i="9" s="1"/>
  <c r="W78" i="9"/>
  <c r="AA78" i="9" s="1"/>
  <c r="S104" i="9"/>
  <c r="AD104" i="9" s="1"/>
  <c r="AE104" i="9" s="1"/>
  <c r="Z176" i="7"/>
  <c r="AA176" i="7"/>
  <c r="AB176" i="7" s="1"/>
  <c r="AC106" i="9"/>
  <c r="K185" i="9"/>
  <c r="O185" i="9" s="1"/>
  <c r="V185" i="9"/>
  <c r="Z185" i="9" s="1"/>
  <c r="U185" i="9"/>
  <c r="Y185" i="9" s="1"/>
  <c r="N185" i="9"/>
  <c r="R185" i="9" s="1"/>
  <c r="W185" i="9"/>
  <c r="AA185" i="9" s="1"/>
  <c r="M185" i="9"/>
  <c r="Q185" i="9" s="1"/>
  <c r="X185" i="9"/>
  <c r="AB185" i="9" s="1"/>
  <c r="L185" i="9"/>
  <c r="P185" i="9" s="1"/>
  <c r="Q96" i="9"/>
  <c r="AC121" i="9"/>
  <c r="AD121" i="9" s="1"/>
  <c r="AE121" i="9" s="1"/>
  <c r="AG121" i="9" s="1"/>
  <c r="AB40" i="7"/>
  <c r="S88" i="10"/>
  <c r="AB110" i="7"/>
  <c r="AB64" i="7"/>
  <c r="V184" i="9"/>
  <c r="Z184" i="9" s="1"/>
  <c r="U184" i="9"/>
  <c r="Y184" i="9" s="1"/>
  <c r="M184" i="9"/>
  <c r="Q184" i="9" s="1"/>
  <c r="K184" i="9"/>
  <c r="O184" i="9" s="1"/>
  <c r="S184" i="9" s="1"/>
  <c r="L184" i="9"/>
  <c r="P184" i="9" s="1"/>
  <c r="N184" i="9"/>
  <c r="R184" i="9" s="1"/>
  <c r="W184" i="9"/>
  <c r="AA184" i="9" s="1"/>
  <c r="X184" i="9"/>
  <c r="AB184" i="9" s="1"/>
  <c r="AA171" i="9"/>
  <c r="AB51" i="7"/>
  <c r="AB15" i="7"/>
  <c r="AB134" i="7"/>
  <c r="AC109" i="9"/>
  <c r="AB31" i="7"/>
  <c r="Q76" i="9"/>
  <c r="S144" i="9"/>
  <c r="AD144" i="9" s="1"/>
  <c r="AE144" i="9" s="1"/>
  <c r="AG144" i="9" s="1"/>
  <c r="AC14" i="9"/>
  <c r="Z60" i="7"/>
  <c r="AA60" i="7"/>
  <c r="AB60" i="7" s="1"/>
  <c r="AC54" i="9"/>
  <c r="Z70" i="7"/>
  <c r="AA70" i="7"/>
  <c r="AB70" i="7" s="1"/>
  <c r="T87" i="10"/>
  <c r="I33" i="9"/>
  <c r="AD33" i="7"/>
  <c r="AE33" i="7" s="1"/>
  <c r="Z179" i="7"/>
  <c r="AA179" i="7"/>
  <c r="AC7" i="9"/>
  <c r="I181" i="9"/>
  <c r="AD181" i="7"/>
  <c r="AE181" i="7" s="1"/>
  <c r="S156" i="9"/>
  <c r="AD156" i="9" s="1"/>
  <c r="AE156" i="9" s="1"/>
  <c r="AG156" i="9" s="1"/>
  <c r="S130" i="9"/>
  <c r="I113" i="9"/>
  <c r="AD113" i="7"/>
  <c r="AE113" i="7" s="1"/>
  <c r="S118" i="9"/>
  <c r="AD118" i="9" s="1"/>
  <c r="AE118" i="9" s="1"/>
  <c r="AC123" i="9"/>
  <c r="AD123" i="9" s="1"/>
  <c r="AE123" i="9" s="1"/>
  <c r="AG123" i="9" s="1"/>
  <c r="AC19" i="9"/>
  <c r="AC73" i="9"/>
  <c r="S180" i="9"/>
  <c r="I122" i="9"/>
  <c r="AF122" i="9" s="1"/>
  <c r="AD122" i="7"/>
  <c r="AE122" i="7" s="1"/>
  <c r="S49" i="9"/>
  <c r="AD49" i="9" s="1"/>
  <c r="AE49" i="9" s="1"/>
  <c r="R82" i="9"/>
  <c r="K62" i="9"/>
  <c r="O62" i="9" s="1"/>
  <c r="N62" i="9"/>
  <c r="L62" i="9"/>
  <c r="P62" i="9" s="1"/>
  <c r="M62" i="9"/>
  <c r="Q62" i="9" s="1"/>
  <c r="X62" i="9"/>
  <c r="AB62" i="9" s="1"/>
  <c r="W62" i="9"/>
  <c r="AA62" i="9" s="1"/>
  <c r="V62" i="9"/>
  <c r="Z62" i="9" s="1"/>
  <c r="U62" i="9"/>
  <c r="Y62" i="9" s="1"/>
  <c r="AB147" i="9"/>
  <c r="I163" i="9"/>
  <c r="AD163" i="7"/>
  <c r="AE163" i="7" s="1"/>
  <c r="S34" i="9"/>
  <c r="AD34" i="9" s="1"/>
  <c r="AE34" i="9" s="1"/>
  <c r="AG34" i="9" s="1"/>
  <c r="I103" i="9"/>
  <c r="AF103" i="9" s="1"/>
  <c r="AD103" i="7"/>
  <c r="AE103" i="7" s="1"/>
  <c r="AC20" i="9"/>
  <c r="I115" i="9"/>
  <c r="AF115" i="9" s="1"/>
  <c r="AD115" i="7"/>
  <c r="AE115" i="7" s="1"/>
  <c r="G28" i="8"/>
  <c r="B36" i="8" s="1"/>
  <c r="B14" i="11" s="1"/>
  <c r="Z137" i="7"/>
  <c r="AA137" i="7"/>
  <c r="AB137" i="7" s="1"/>
  <c r="N149" i="9"/>
  <c r="K149" i="9"/>
  <c r="O149" i="9" s="1"/>
  <c r="M149" i="9"/>
  <c r="L149" i="9"/>
  <c r="P149" i="9" s="1"/>
  <c r="U149" i="9"/>
  <c r="Y149" i="9" s="1"/>
  <c r="V149" i="9"/>
  <c r="Z149" i="9" s="1"/>
  <c r="X149" i="9"/>
  <c r="AB149" i="9" s="1"/>
  <c r="W149" i="9"/>
  <c r="AA149" i="9" s="1"/>
  <c r="I65" i="9"/>
  <c r="AD65" i="7"/>
  <c r="AE65" i="7" s="1"/>
  <c r="B33" i="8"/>
  <c r="B12" i="11" s="1"/>
  <c r="B34" i="8"/>
  <c r="Z97" i="7"/>
  <c r="AA97" i="7"/>
  <c r="AC117" i="9"/>
  <c r="AC135" i="9"/>
  <c r="X86" i="9"/>
  <c r="AB86" i="9" s="1"/>
  <c r="W86" i="9"/>
  <c r="AA86" i="9" s="1"/>
  <c r="U86" i="9"/>
  <c r="Y86" i="9" s="1"/>
  <c r="AC86" i="9" s="1"/>
  <c r="K86" i="9"/>
  <c r="O86" i="9" s="1"/>
  <c r="N86" i="9"/>
  <c r="R86" i="9" s="1"/>
  <c r="M86" i="9"/>
  <c r="Q86" i="9" s="1"/>
  <c r="V86" i="9"/>
  <c r="Z86" i="9" s="1"/>
  <c r="L86" i="9"/>
  <c r="P86" i="9" s="1"/>
  <c r="I123" i="9"/>
  <c r="AD123" i="7"/>
  <c r="AE123" i="7" s="1"/>
  <c r="Q150" i="9"/>
  <c r="I48" i="9"/>
  <c r="AF48" i="9" s="1"/>
  <c r="AD48" i="7"/>
  <c r="AE48" i="7" s="1"/>
  <c r="AC26" i="9"/>
  <c r="V56" i="9"/>
  <c r="Z56" i="9" s="1"/>
  <c r="N56" i="9"/>
  <c r="R56" i="9" s="1"/>
  <c r="X56" i="9"/>
  <c r="AB56" i="9" s="1"/>
  <c r="L56" i="9"/>
  <c r="P56" i="9" s="1"/>
  <c r="K56" i="9"/>
  <c r="O56" i="9" s="1"/>
  <c r="S56" i="9" s="1"/>
  <c r="W56" i="9"/>
  <c r="AA56" i="9" s="1"/>
  <c r="U56" i="9"/>
  <c r="Y56" i="9" s="1"/>
  <c r="AC56" i="9" s="1"/>
  <c r="M56" i="9"/>
  <c r="Q56" i="9" s="1"/>
  <c r="I130" i="9"/>
  <c r="AD130" i="7"/>
  <c r="AE130" i="7" s="1"/>
  <c r="AC100" i="9"/>
  <c r="K98" i="9"/>
  <c r="O98" i="9" s="1"/>
  <c r="X98" i="9"/>
  <c r="AB98" i="9" s="1"/>
  <c r="M98" i="9"/>
  <c r="Q98" i="9" s="1"/>
  <c r="L98" i="9"/>
  <c r="P98" i="9" s="1"/>
  <c r="W98" i="9"/>
  <c r="AA98" i="9" s="1"/>
  <c r="U98" i="9"/>
  <c r="Y98" i="9" s="1"/>
  <c r="N98" i="9"/>
  <c r="R98" i="9" s="1"/>
  <c r="V98" i="9"/>
  <c r="Z98" i="9" s="1"/>
  <c r="N68" i="9"/>
  <c r="R68" i="9" s="1"/>
  <c r="L68" i="9"/>
  <c r="P68" i="9" s="1"/>
  <c r="K68" i="9"/>
  <c r="O68" i="9" s="1"/>
  <c r="S68" i="9" s="1"/>
  <c r="W68" i="9"/>
  <c r="AA68" i="9" s="1"/>
  <c r="M68" i="9"/>
  <c r="Q68" i="9" s="1"/>
  <c r="U68" i="9"/>
  <c r="Y68" i="9" s="1"/>
  <c r="V68" i="9"/>
  <c r="Z68" i="9" s="1"/>
  <c r="X68" i="9"/>
  <c r="AB68" i="9" s="1"/>
  <c r="I111" i="9"/>
  <c r="AD111" i="7"/>
  <c r="AE111" i="7" s="1"/>
  <c r="AC8" i="9"/>
  <c r="AD8" i="9" s="1"/>
  <c r="AE8" i="9" s="1"/>
  <c r="AG8" i="9" s="1"/>
  <c r="I36" i="9"/>
  <c r="AF36" i="9" s="1"/>
  <c r="AD36" i="7"/>
  <c r="AE36" i="7" s="1"/>
  <c r="I182" i="9"/>
  <c r="AF182" i="9" s="1"/>
  <c r="AD182" i="7"/>
  <c r="AE182" i="7" s="1"/>
  <c r="Z147" i="7"/>
  <c r="AA147" i="7"/>
  <c r="AB147" i="7" s="1"/>
  <c r="U139" i="9"/>
  <c r="Y139" i="9" s="1"/>
  <c r="V139" i="9"/>
  <c r="Z139" i="9" s="1"/>
  <c r="W139" i="9"/>
  <c r="AA139" i="9" s="1"/>
  <c r="N139" i="9"/>
  <c r="R139" i="9" s="1"/>
  <c r="M139" i="9"/>
  <c r="Q139" i="9" s="1"/>
  <c r="L139" i="9"/>
  <c r="P139" i="9" s="1"/>
  <c r="K139" i="9"/>
  <c r="O139" i="9" s="1"/>
  <c r="X139" i="9"/>
  <c r="AB139" i="9" s="1"/>
  <c r="B106" i="10"/>
  <c r="I4" i="9"/>
  <c r="AF4" i="9" s="1"/>
  <c r="AD4" i="7"/>
  <c r="R81" i="9"/>
  <c r="V169" i="9"/>
  <c r="Z169" i="9" s="1"/>
  <c r="X169" i="9"/>
  <c r="AB169" i="9" s="1"/>
  <c r="L169" i="9"/>
  <c r="P169" i="9" s="1"/>
  <c r="W169" i="9"/>
  <c r="AA169" i="9" s="1"/>
  <c r="K169" i="9"/>
  <c r="O169" i="9" s="1"/>
  <c r="S169" i="9" s="1"/>
  <c r="U169" i="9"/>
  <c r="Y169" i="9" s="1"/>
  <c r="M169" i="9"/>
  <c r="Q169" i="9" s="1"/>
  <c r="N169" i="9"/>
  <c r="R169" i="9" s="1"/>
  <c r="S145" i="9"/>
  <c r="AD145" i="9" s="1"/>
  <c r="AE145" i="9" s="1"/>
  <c r="AG145" i="9" s="1"/>
  <c r="AC57" i="9"/>
  <c r="Z168" i="7"/>
  <c r="AA168" i="7"/>
  <c r="AB168" i="7" s="1"/>
  <c r="S102" i="9"/>
  <c r="AD102" i="9" s="1"/>
  <c r="AE102" i="9" s="1"/>
  <c r="AG102" i="9" s="1"/>
  <c r="R77" i="9"/>
  <c r="S127" i="9"/>
  <c r="W77" i="10"/>
  <c r="V76" i="10" s="1"/>
  <c r="U75" i="10" s="1"/>
  <c r="T74" i="10" s="1"/>
  <c r="W78" i="10"/>
  <c r="AC178" i="9"/>
  <c r="AD178" i="9" s="1"/>
  <c r="AE178" i="9" s="1"/>
  <c r="AG178" i="9" s="1"/>
  <c r="I132" i="9"/>
  <c r="AD132" i="7"/>
  <c r="AE132" i="7" s="1"/>
  <c r="S105" i="9"/>
  <c r="AD105" i="9" s="1"/>
  <c r="AE105" i="9" s="1"/>
  <c r="I8" i="9"/>
  <c r="AD8" i="7"/>
  <c r="AE8" i="7" s="1"/>
  <c r="AC15" i="9"/>
  <c r="U176" i="9"/>
  <c r="Y176" i="9" s="1"/>
  <c r="W176" i="9"/>
  <c r="AA176" i="9" s="1"/>
  <c r="N176" i="9"/>
  <c r="R176" i="9" s="1"/>
  <c r="V176" i="9"/>
  <c r="Z176" i="9" s="1"/>
  <c r="M176" i="9"/>
  <c r="Q176" i="9" s="1"/>
  <c r="L176" i="9"/>
  <c r="P176" i="9" s="1"/>
  <c r="K176" i="9"/>
  <c r="O176" i="9" s="1"/>
  <c r="X176" i="9"/>
  <c r="AB176" i="9" s="1"/>
  <c r="I175" i="9"/>
  <c r="AF175" i="9" s="1"/>
  <c r="AD175" i="7"/>
  <c r="AE175" i="7" s="1"/>
  <c r="R168" i="9"/>
  <c r="S87" i="10"/>
  <c r="AC38" i="9"/>
  <c r="Z87" i="7"/>
  <c r="AA87" i="7"/>
  <c r="AB87" i="7" s="1"/>
  <c r="Q171" i="9"/>
  <c r="S33" i="9"/>
  <c r="AD33" i="9" s="1"/>
  <c r="AE33" i="9" s="1"/>
  <c r="AG33" i="9" s="1"/>
  <c r="S72" i="9"/>
  <c r="R60" i="9"/>
  <c r="Z96" i="7"/>
  <c r="AA96" i="7"/>
  <c r="I13" i="9"/>
  <c r="AF13" i="9" s="1"/>
  <c r="AD13" i="7"/>
  <c r="AE13" i="7" s="1"/>
  <c r="I146" i="9"/>
  <c r="AD146" i="7"/>
  <c r="AE146" i="7" s="1"/>
  <c r="AF138" i="9"/>
  <c r="AC166" i="9"/>
  <c r="AD166" i="9" s="1"/>
  <c r="AE166" i="9" s="1"/>
  <c r="AD181" i="9"/>
  <c r="AE181" i="9" s="1"/>
  <c r="AG181" i="9" s="1"/>
  <c r="S59" i="9"/>
  <c r="AD59" i="9" s="1"/>
  <c r="AE59" i="9" s="1"/>
  <c r="AC21" i="9"/>
  <c r="AD21" i="9" s="1"/>
  <c r="AE21" i="9" s="1"/>
  <c r="AG21" i="9" s="1"/>
  <c r="AA70" i="9"/>
  <c r="S99" i="9"/>
  <c r="AD99" i="9" s="1"/>
  <c r="AE99" i="9" s="1"/>
  <c r="AC183" i="9"/>
  <c r="R76" i="9"/>
  <c r="I157" i="9"/>
  <c r="AF157" i="9" s="1"/>
  <c r="AD157" i="7"/>
  <c r="AE157" i="7" s="1"/>
  <c r="AC177" i="9"/>
  <c r="AC71" i="9"/>
  <c r="AB47" i="7"/>
  <c r="AB166" i="7"/>
  <c r="AC108" i="9"/>
  <c r="Q137" i="9"/>
  <c r="AC153" i="9"/>
  <c r="AB179" i="9"/>
  <c r="S54" i="9"/>
  <c r="AD54" i="9" s="1"/>
  <c r="AE54" i="9" s="1"/>
  <c r="S12" i="9"/>
  <c r="AD12" i="9" s="1"/>
  <c r="AE12" i="9" s="1"/>
  <c r="AD151" i="9"/>
  <c r="AE151" i="9" s="1"/>
  <c r="AG151" i="9" s="1"/>
  <c r="AC28" i="9"/>
  <c r="S142" i="9"/>
  <c r="AD142" i="9" s="1"/>
  <c r="AE142" i="9" s="1"/>
  <c r="I118" i="9" l="1"/>
  <c r="AF118" i="9" s="1"/>
  <c r="AD118" i="7"/>
  <c r="AE118" i="7" s="1"/>
  <c r="AD72" i="9"/>
  <c r="AE72" i="9" s="1"/>
  <c r="AG72" i="9" s="1"/>
  <c r="I87" i="9"/>
  <c r="AD87" i="7"/>
  <c r="AE87" i="7" s="1"/>
  <c r="I60" i="9"/>
  <c r="AD60" i="7"/>
  <c r="AE60" i="7" s="1"/>
  <c r="AC131" i="9"/>
  <c r="AG54" i="9"/>
  <c r="S176" i="9"/>
  <c r="AD127" i="9"/>
  <c r="AE127" i="9" s="1"/>
  <c r="AG127" i="9" s="1"/>
  <c r="AC68" i="9"/>
  <c r="AC98" i="9"/>
  <c r="AC66" i="9"/>
  <c r="I150" i="9"/>
  <c r="AD150" i="7"/>
  <c r="AE150" i="7" s="1"/>
  <c r="S131" i="9"/>
  <c r="I131" i="9"/>
  <c r="AD131" i="7"/>
  <c r="AE131" i="7" s="1"/>
  <c r="AG122" i="9"/>
  <c r="S80" i="9"/>
  <c r="S172" i="9"/>
  <c r="AD172" i="9" s="1"/>
  <c r="AE172" i="9" s="1"/>
  <c r="S97" i="9"/>
  <c r="S93" i="9"/>
  <c r="AD109" i="9"/>
  <c r="AE109" i="9" s="1"/>
  <c r="AF145" i="9"/>
  <c r="S50" i="9"/>
  <c r="S82" i="9"/>
  <c r="AC79" i="9"/>
  <c r="I93" i="9"/>
  <c r="AD93" i="7"/>
  <c r="AE93" i="7" s="1"/>
  <c r="AC133" i="9"/>
  <c r="I49" i="9"/>
  <c r="AF49" i="9" s="1"/>
  <c r="AD49" i="7"/>
  <c r="AE49" i="7" s="1"/>
  <c r="I7" i="9"/>
  <c r="AF7" i="9" s="1"/>
  <c r="AD7" i="7"/>
  <c r="AE7" i="7" s="1"/>
  <c r="I95" i="9"/>
  <c r="AF95" i="9" s="1"/>
  <c r="AD95" i="7"/>
  <c r="AE95" i="7" s="1"/>
  <c r="S85" i="9"/>
  <c r="I53" i="9"/>
  <c r="AF53" i="9" s="1"/>
  <c r="AD53" i="7"/>
  <c r="AE53" i="7" s="1"/>
  <c r="AC168" i="9"/>
  <c r="AF44" i="9"/>
  <c r="AG61" i="9"/>
  <c r="S77" i="9"/>
  <c r="I92" i="9"/>
  <c r="AD92" i="7"/>
  <c r="AE92" i="7" s="1"/>
  <c r="AF125" i="9"/>
  <c r="AD26" i="9"/>
  <c r="AE26" i="9" s="1"/>
  <c r="AG26" i="9" s="1"/>
  <c r="AF21" i="9"/>
  <c r="AD11" i="9"/>
  <c r="AE11" i="9" s="1"/>
  <c r="AC90" i="9"/>
  <c r="AC74" i="9"/>
  <c r="AD7" i="9"/>
  <c r="AE7" i="9" s="1"/>
  <c r="AC76" i="9"/>
  <c r="I158" i="9"/>
  <c r="AD158" i="7"/>
  <c r="AE158" i="7" s="1"/>
  <c r="I24" i="9"/>
  <c r="AF24" i="9" s="1"/>
  <c r="AD24" i="7"/>
  <c r="AE24" i="7" s="1"/>
  <c r="I139" i="9"/>
  <c r="AD139" i="7"/>
  <c r="AE139" i="7" s="1"/>
  <c r="I176" i="9"/>
  <c r="AD176" i="7"/>
  <c r="AE176" i="7" s="1"/>
  <c r="AF181" i="9"/>
  <c r="I137" i="9"/>
  <c r="AD137" i="7"/>
  <c r="AE137" i="7" s="1"/>
  <c r="I134" i="9"/>
  <c r="AF134" i="9" s="1"/>
  <c r="AD134" i="7"/>
  <c r="AE134" i="7" s="1"/>
  <c r="I15" i="9"/>
  <c r="AD15" i="7"/>
  <c r="AE15" i="7" s="1"/>
  <c r="AG59" i="9"/>
  <c r="AB96" i="7"/>
  <c r="AF8" i="9"/>
  <c r="AE4" i="7"/>
  <c r="AB97" i="7"/>
  <c r="AD130" i="9"/>
  <c r="AE130" i="9" s="1"/>
  <c r="AG130" i="9" s="1"/>
  <c r="AF33" i="9"/>
  <c r="I51" i="9"/>
  <c r="AD51" i="7"/>
  <c r="AE51" i="7" s="1"/>
  <c r="AC184" i="9"/>
  <c r="AD184" i="9" s="1"/>
  <c r="AE184" i="9" s="1"/>
  <c r="AG184" i="9" s="1"/>
  <c r="S185" i="9"/>
  <c r="I100" i="9"/>
  <c r="AD100" i="7"/>
  <c r="AE100" i="7" s="1"/>
  <c r="I69" i="9"/>
  <c r="AF69" i="9" s="1"/>
  <c r="AD69" i="7"/>
  <c r="AE69" i="7" s="1"/>
  <c r="AF17" i="9"/>
  <c r="AD111" i="9"/>
  <c r="AE111" i="9" s="1"/>
  <c r="AG111" i="9" s="1"/>
  <c r="AF124" i="9"/>
  <c r="AG140" i="9"/>
  <c r="S88" i="9"/>
  <c r="AD45" i="9"/>
  <c r="AE45" i="9" s="1"/>
  <c r="AG45" i="9" s="1"/>
  <c r="I105" i="9"/>
  <c r="AF105" i="9" s="1"/>
  <c r="AD105" i="7"/>
  <c r="AE105" i="7" s="1"/>
  <c r="S133" i="9"/>
  <c r="AD133" i="9" s="1"/>
  <c r="AE133" i="9" s="1"/>
  <c r="AD15" i="9"/>
  <c r="AE15" i="9" s="1"/>
  <c r="AG15" i="9" s="1"/>
  <c r="AG134" i="9"/>
  <c r="S179" i="9"/>
  <c r="AB152" i="7"/>
  <c r="AF159" i="9"/>
  <c r="R81" i="10"/>
  <c r="AF55" i="9"/>
  <c r="AG175" i="9"/>
  <c r="AF26" i="9"/>
  <c r="AC81" i="9"/>
  <c r="I142" i="9"/>
  <c r="AF142" i="9" s="1"/>
  <c r="AD142" i="7"/>
  <c r="AE142" i="7" s="1"/>
  <c r="I35" i="9"/>
  <c r="AF35" i="9" s="1"/>
  <c r="AD35" i="7"/>
  <c r="AE35" i="7" s="1"/>
  <c r="P88" i="10"/>
  <c r="AF42" i="9"/>
  <c r="AF183" i="9"/>
  <c r="T61" i="10"/>
  <c r="S60" i="10" s="1"/>
  <c r="R59" i="10" s="1"/>
  <c r="I79" i="9"/>
  <c r="AD79" i="7"/>
  <c r="AE79" i="7" s="1"/>
  <c r="AB77" i="7"/>
  <c r="AB66" i="7"/>
  <c r="AB169" i="7"/>
  <c r="S150" i="9"/>
  <c r="AD150" i="9" s="1"/>
  <c r="AE150" i="9" s="1"/>
  <c r="AG150" i="9" s="1"/>
  <c r="AG35" i="9"/>
  <c r="S84" i="9"/>
  <c r="AB85" i="7"/>
  <c r="I129" i="9"/>
  <c r="AF129" i="9" s="1"/>
  <c r="AD129" i="7"/>
  <c r="AE129" i="7" s="1"/>
  <c r="AG91" i="9"/>
  <c r="AG16" i="9"/>
  <c r="I23" i="9"/>
  <c r="AF23" i="9" s="1"/>
  <c r="AD23" i="7"/>
  <c r="AE23" i="7" s="1"/>
  <c r="AC158" i="9"/>
  <c r="AB133" i="7"/>
  <c r="AB89" i="7"/>
  <c r="AF9" i="9"/>
  <c r="AB52" i="7"/>
  <c r="AD5" i="9"/>
  <c r="AE5" i="9" s="1"/>
  <c r="AG5" i="9" s="1"/>
  <c r="AG13" i="9"/>
  <c r="I19" i="9"/>
  <c r="AD19" i="7"/>
  <c r="AE19" i="7" s="1"/>
  <c r="I170" i="9"/>
  <c r="AD170" i="7"/>
  <c r="AE170" i="7" s="1"/>
  <c r="S76" i="9"/>
  <c r="AD76" i="9" s="1"/>
  <c r="AE76" i="9" s="1"/>
  <c r="AC169" i="9"/>
  <c r="AD169" i="9" s="1"/>
  <c r="AE169" i="9" s="1"/>
  <c r="S143" i="9"/>
  <c r="AD143" i="9" s="1"/>
  <c r="AE143" i="9" s="1"/>
  <c r="I70" i="9"/>
  <c r="AD70" i="7"/>
  <c r="AE70" i="7" s="1"/>
  <c r="S78" i="9"/>
  <c r="AD78" i="9" s="1"/>
  <c r="AE78" i="9" s="1"/>
  <c r="AG78" i="9" s="1"/>
  <c r="S89" i="9"/>
  <c r="I74" i="9"/>
  <c r="AD74" i="7"/>
  <c r="AE74" i="7" s="1"/>
  <c r="AG36" i="9"/>
  <c r="AD108" i="9"/>
  <c r="AE108" i="9" s="1"/>
  <c r="I171" i="9"/>
  <c r="AD171" i="7"/>
  <c r="AE171" i="7" s="1"/>
  <c r="AF127" i="9"/>
  <c r="S81" i="9"/>
  <c r="AD81" i="9" s="1"/>
  <c r="AE81" i="9" s="1"/>
  <c r="I67" i="9"/>
  <c r="AF67" i="9" s="1"/>
  <c r="AD67" i="7"/>
  <c r="AE67" i="7" s="1"/>
  <c r="AD18" i="9"/>
  <c r="AE18" i="9" s="1"/>
  <c r="AG18" i="9" s="1"/>
  <c r="Q87" i="10"/>
  <c r="S90" i="9"/>
  <c r="AD90" i="9" s="1"/>
  <c r="AE90" i="9" s="1"/>
  <c r="AB82" i="7"/>
  <c r="I22" i="9"/>
  <c r="AF22" i="9" s="1"/>
  <c r="AD22" i="7"/>
  <c r="AE22" i="7" s="1"/>
  <c r="AG95" i="9"/>
  <c r="AD37" i="9"/>
  <c r="AE37" i="9" s="1"/>
  <c r="AG37" i="9" s="1"/>
  <c r="S62" i="10"/>
  <c r="S62" i="9"/>
  <c r="AG4" i="9"/>
  <c r="AD68" i="9"/>
  <c r="AE68" i="9" s="1"/>
  <c r="S86" i="9"/>
  <c r="AD86" i="9" s="1"/>
  <c r="AE86" i="9" s="1"/>
  <c r="AG86" i="9" s="1"/>
  <c r="AC62" i="9"/>
  <c r="I64" i="9"/>
  <c r="AF64" i="9" s="1"/>
  <c r="AD64" i="7"/>
  <c r="AE64" i="7" s="1"/>
  <c r="I57" i="9"/>
  <c r="AD57" i="7"/>
  <c r="AE57" i="7" s="1"/>
  <c r="AF121" i="9"/>
  <c r="AG69" i="9"/>
  <c r="AF5" i="9"/>
  <c r="AG49" i="9"/>
  <c r="I31" i="9"/>
  <c r="AF31" i="9" s="1"/>
  <c r="AD31" i="7"/>
  <c r="AE31" i="7" s="1"/>
  <c r="I76" i="9"/>
  <c r="AF76" i="9" s="1"/>
  <c r="AD76" i="7"/>
  <c r="AE76" i="7" s="1"/>
  <c r="AG157" i="9"/>
  <c r="AC174" i="9"/>
  <c r="AC92" i="9"/>
  <c r="AC150" i="9"/>
  <c r="AD135" i="9"/>
  <c r="AE135" i="9" s="1"/>
  <c r="AD25" i="9"/>
  <c r="AE25" i="9" s="1"/>
  <c r="AG25" i="9" s="1"/>
  <c r="AG48" i="9"/>
  <c r="AC137" i="9"/>
  <c r="AD73" i="9"/>
  <c r="AE73" i="9" s="1"/>
  <c r="I78" i="9"/>
  <c r="AD78" i="7"/>
  <c r="AE78" i="7" s="1"/>
  <c r="AD120" i="9"/>
  <c r="AE120" i="9" s="1"/>
  <c r="T86" i="10"/>
  <c r="S85" i="10" s="1"/>
  <c r="R84" i="10" s="1"/>
  <c r="Q83" i="10" s="1"/>
  <c r="P82" i="10" s="1"/>
  <c r="I14" i="9"/>
  <c r="AF14" i="9" s="1"/>
  <c r="AD14" i="7"/>
  <c r="AE14" i="7" s="1"/>
  <c r="I168" i="9"/>
  <c r="AD168" i="7"/>
  <c r="AE168" i="7" s="1"/>
  <c r="AC139" i="9"/>
  <c r="I110" i="9"/>
  <c r="AF110" i="9" s="1"/>
  <c r="AD110" i="7"/>
  <c r="AE110" i="7" s="1"/>
  <c r="I90" i="9"/>
  <c r="AF90" i="9" s="1"/>
  <c r="AD90" i="7"/>
  <c r="AE90" i="7" s="1"/>
  <c r="I180" i="9"/>
  <c r="AD180" i="7"/>
  <c r="AE180" i="7" s="1"/>
  <c r="AG117" i="9"/>
  <c r="AC89" i="9"/>
  <c r="I94" i="9"/>
  <c r="AF94" i="9" s="1"/>
  <c r="AD94" i="7"/>
  <c r="AE94" i="7" s="1"/>
  <c r="AC80" i="9"/>
  <c r="AC141" i="9"/>
  <c r="AG47" i="9"/>
  <c r="AD113" i="9"/>
  <c r="AE113" i="9" s="1"/>
  <c r="AG113" i="9" s="1"/>
  <c r="AD158" i="9"/>
  <c r="AE158" i="9" s="1"/>
  <c r="AG158" i="9" s="1"/>
  <c r="AC171" i="9"/>
  <c r="AD43" i="9"/>
  <c r="AE43" i="9" s="1"/>
  <c r="AG43" i="9" s="1"/>
  <c r="I88" i="9"/>
  <c r="AD88" i="7"/>
  <c r="AE88" i="7" s="1"/>
  <c r="AC70" i="9"/>
  <c r="AF34" i="9"/>
  <c r="AG164" i="9"/>
  <c r="AG53" i="9"/>
  <c r="I80" i="9"/>
  <c r="AD80" i="7"/>
  <c r="AE80" i="7" s="1"/>
  <c r="AG99" i="9"/>
  <c r="I147" i="9"/>
  <c r="AD147" i="7"/>
  <c r="AE147" i="7" s="1"/>
  <c r="AF111" i="9"/>
  <c r="S98" i="9"/>
  <c r="AD98" i="9" s="1"/>
  <c r="AE98" i="9" s="1"/>
  <c r="S149" i="9"/>
  <c r="AD149" i="9" s="1"/>
  <c r="AE149" i="9" s="1"/>
  <c r="R87" i="10"/>
  <c r="AG104" i="9"/>
  <c r="I153" i="9"/>
  <c r="AD153" i="7"/>
  <c r="AE153" i="7" s="1"/>
  <c r="I108" i="9"/>
  <c r="AF108" i="9" s="1"/>
  <c r="AD108" i="7"/>
  <c r="AE108" i="7" s="1"/>
  <c r="AG182" i="9"/>
  <c r="AF186" i="9"/>
  <c r="AD32" i="9"/>
  <c r="AE32" i="9" s="1"/>
  <c r="AF20" i="9"/>
  <c r="AC172" i="9"/>
  <c r="S174" i="9"/>
  <c r="AD65" i="9"/>
  <c r="AE65" i="9" s="1"/>
  <c r="AG65" i="9" s="1"/>
  <c r="AF38" i="9"/>
  <c r="AC88" i="9"/>
  <c r="AC84" i="9"/>
  <c r="AB98" i="7"/>
  <c r="AD19" i="9"/>
  <c r="AE19" i="9" s="1"/>
  <c r="AG19" i="9" s="1"/>
  <c r="AD112" i="9"/>
  <c r="AE112" i="9" s="1"/>
  <c r="AG112" i="9" s="1"/>
  <c r="AC152" i="9"/>
  <c r="I30" i="9"/>
  <c r="AF30" i="9" s="1"/>
  <c r="AD30" i="7"/>
  <c r="AE30" i="7" s="1"/>
  <c r="AB84" i="7"/>
  <c r="V57" i="10"/>
  <c r="U56" i="10" s="1"/>
  <c r="T55" i="10" s="1"/>
  <c r="S54" i="10" s="1"/>
  <c r="R53" i="10" s="1"/>
  <c r="Q52" i="10" s="1"/>
  <c r="P51" i="10" s="1"/>
  <c r="V58" i="10"/>
  <c r="I32" i="9"/>
  <c r="AF32" i="9" s="1"/>
  <c r="AD32" i="7"/>
  <c r="AE32" i="7" s="1"/>
  <c r="I177" i="9"/>
  <c r="AF177" i="9" s="1"/>
  <c r="AD177" i="7"/>
  <c r="AE177" i="7" s="1"/>
  <c r="I160" i="9"/>
  <c r="AF160" i="9" s="1"/>
  <c r="AD160" i="7"/>
  <c r="AE160" i="7" s="1"/>
  <c r="AC60" i="9"/>
  <c r="I41" i="9"/>
  <c r="AF41" i="9" s="1"/>
  <c r="AD41" i="7"/>
  <c r="AE41" i="7" s="1"/>
  <c r="S70" i="9"/>
  <c r="AD70" i="9" s="1"/>
  <c r="AE70" i="9" s="1"/>
  <c r="AG70" i="9" s="1"/>
  <c r="AD153" i="9"/>
  <c r="AE153" i="9" s="1"/>
  <c r="AG153" i="9" s="1"/>
  <c r="AF39" i="9"/>
  <c r="AG94" i="9"/>
  <c r="AC96" i="9"/>
  <c r="AD96" i="9" s="1"/>
  <c r="AE96" i="9" s="1"/>
  <c r="AD136" i="9"/>
  <c r="AE136" i="9" s="1"/>
  <c r="AF107" i="9"/>
  <c r="AD163" i="9"/>
  <c r="AE163" i="9" s="1"/>
  <c r="AG163" i="9" s="1"/>
  <c r="AC87" i="9"/>
  <c r="I16" i="9"/>
  <c r="AF16" i="9" s="1"/>
  <c r="AD16" i="7"/>
  <c r="AE16" i="7" s="1"/>
  <c r="S74" i="9"/>
  <c r="AD74" i="9" s="1"/>
  <c r="AE74" i="9" s="1"/>
  <c r="AG74" i="9" s="1"/>
  <c r="S137" i="9"/>
  <c r="AD137" i="9" s="1"/>
  <c r="AE137" i="9" s="1"/>
  <c r="AG137" i="9" s="1"/>
  <c r="I136" i="9"/>
  <c r="AF136" i="9" s="1"/>
  <c r="AD136" i="7"/>
  <c r="AE136" i="7" s="1"/>
  <c r="AC147" i="9"/>
  <c r="U86" i="10"/>
  <c r="T85" i="10" s="1"/>
  <c r="S84" i="10" s="1"/>
  <c r="R83" i="10" s="1"/>
  <c r="Q82" i="10" s="1"/>
  <c r="AC149" i="9"/>
  <c r="S86" i="10"/>
  <c r="R85" i="10" s="1"/>
  <c r="Q84" i="10" s="1"/>
  <c r="P83" i="10" s="1"/>
  <c r="O82" i="10" s="1"/>
  <c r="I11" i="9"/>
  <c r="AF11" i="9" s="1"/>
  <c r="AD11" i="7"/>
  <c r="AE11" i="7" s="1"/>
  <c r="I62" i="9"/>
  <c r="AD62" i="7"/>
  <c r="AE62" i="7" s="1"/>
  <c r="I184" i="9"/>
  <c r="AD184" i="7"/>
  <c r="AE184" i="7" s="1"/>
  <c r="I149" i="9"/>
  <c r="AF149" i="9" s="1"/>
  <c r="AD149" i="7"/>
  <c r="AE149" i="7" s="1"/>
  <c r="S60" i="9"/>
  <c r="AD60" i="9" s="1"/>
  <c r="AE60" i="9" s="1"/>
  <c r="AG60" i="9" s="1"/>
  <c r="AG142" i="9"/>
  <c r="AF132" i="9"/>
  <c r="AD56" i="9"/>
  <c r="AE56" i="9" s="1"/>
  <c r="I73" i="9"/>
  <c r="AF73" i="9" s="1"/>
  <c r="AD73" i="7"/>
  <c r="AE73" i="7" s="1"/>
  <c r="I6" i="9"/>
  <c r="AF6" i="9" s="1"/>
  <c r="AD6" i="7"/>
  <c r="AE6" i="7" s="1"/>
  <c r="AC77" i="9"/>
  <c r="I167" i="9"/>
  <c r="AF167" i="9" s="1"/>
  <c r="AD167" i="7"/>
  <c r="AE167" i="7" s="1"/>
  <c r="I126" i="9"/>
  <c r="AD126" i="7"/>
  <c r="AE126" i="7" s="1"/>
  <c r="AD75" i="9"/>
  <c r="AE75" i="9" s="1"/>
  <c r="I166" i="9"/>
  <c r="AF166" i="9" s="1"/>
  <c r="AD166" i="7"/>
  <c r="AE166" i="7" s="1"/>
  <c r="I47" i="9"/>
  <c r="AF47" i="9" s="1"/>
  <c r="AD47" i="7"/>
  <c r="AE47" i="7" s="1"/>
  <c r="AF146" i="9"/>
  <c r="AC176" i="9"/>
  <c r="V77" i="10"/>
  <c r="U76" i="10" s="1"/>
  <c r="T75" i="10" s="1"/>
  <c r="S74" i="10" s="1"/>
  <c r="V78" i="10"/>
  <c r="S139" i="9"/>
  <c r="AD139" i="9" s="1"/>
  <c r="AE139" i="9" s="1"/>
  <c r="AG139" i="9" s="1"/>
  <c r="AF123" i="9"/>
  <c r="AB179" i="7"/>
  <c r="I40" i="9"/>
  <c r="AF40" i="9" s="1"/>
  <c r="AD40" i="7"/>
  <c r="AE40" i="7" s="1"/>
  <c r="S66" i="9"/>
  <c r="AD66" i="9" s="1"/>
  <c r="AE66" i="9" s="1"/>
  <c r="AB68" i="7"/>
  <c r="AB172" i="7"/>
  <c r="AC143" i="9"/>
  <c r="AB81" i="7"/>
  <c r="AF18" i="9"/>
  <c r="AC93" i="9"/>
  <c r="AG27" i="9"/>
  <c r="S92" i="9"/>
  <c r="AD92" i="9" s="1"/>
  <c r="AE92" i="9" s="1"/>
  <c r="AG92" i="9" s="1"/>
  <c r="AB75" i="7"/>
  <c r="AF10" i="9"/>
  <c r="AC50" i="9"/>
  <c r="Q81" i="10"/>
  <c r="AC82" i="9"/>
  <c r="AB174" i="7"/>
  <c r="AD20" i="9"/>
  <c r="AE20" i="9" s="1"/>
  <c r="AG20" i="9" s="1"/>
  <c r="AD28" i="9"/>
  <c r="AE28" i="9" s="1"/>
  <c r="AG28" i="9" s="1"/>
  <c r="S152" i="9"/>
  <c r="AD152" i="9" s="1"/>
  <c r="AE152" i="9" s="1"/>
  <c r="AG161" i="9"/>
  <c r="I29" i="9"/>
  <c r="AF29" i="9" s="1"/>
  <c r="AD29" i="7"/>
  <c r="AE29" i="7" s="1"/>
  <c r="AC85" i="9"/>
  <c r="I114" i="9"/>
  <c r="AF114" i="9" s="1"/>
  <c r="AD114" i="7"/>
  <c r="AE114" i="7" s="1"/>
  <c r="AD148" i="9"/>
  <c r="AE148" i="9" s="1"/>
  <c r="AG148" i="9" s="1"/>
  <c r="AG101" i="9"/>
  <c r="S168" i="9"/>
  <c r="AD71" i="9"/>
  <c r="AE71" i="9" s="1"/>
  <c r="AG71" i="9" s="1"/>
  <c r="AF156" i="9"/>
  <c r="AF116" i="9"/>
  <c r="AF112" i="9"/>
  <c r="AD57" i="9"/>
  <c r="AE57" i="9" s="1"/>
  <c r="AG57" i="9" s="1"/>
  <c r="R62" i="10"/>
  <c r="I59" i="9"/>
  <c r="AF59" i="9" s="1"/>
  <c r="AD59" i="7"/>
  <c r="AE59" i="7" s="1"/>
  <c r="AD183" i="9"/>
  <c r="AE183" i="9" s="1"/>
  <c r="AG183" i="9" s="1"/>
  <c r="S87" i="9"/>
  <c r="AD87" i="9" s="1"/>
  <c r="AE87" i="9" s="1"/>
  <c r="AG87" i="9" s="1"/>
  <c r="I12" i="9"/>
  <c r="AF12" i="9" s="1"/>
  <c r="AD12" i="7"/>
  <c r="AE12" i="7" s="1"/>
  <c r="AD83" i="9"/>
  <c r="AE83" i="9" s="1"/>
  <c r="AG83" i="9" s="1"/>
  <c r="AG110" i="9"/>
  <c r="I86" i="9"/>
  <c r="AD86" i="7"/>
  <c r="AE86" i="7" s="1"/>
  <c r="AD126" i="9"/>
  <c r="AE126" i="9" s="1"/>
  <c r="AG126" i="9" s="1"/>
  <c r="T80" i="10"/>
  <c r="S79" i="10" s="1"/>
  <c r="AD180" i="9"/>
  <c r="AE180" i="9" s="1"/>
  <c r="AG180" i="9" s="1"/>
  <c r="AC185" i="9"/>
  <c r="AG58" i="9"/>
  <c r="AD167" i="9"/>
  <c r="AE167" i="9" s="1"/>
  <c r="AC97" i="9"/>
  <c r="S141" i="9"/>
  <c r="AD141" i="9" s="1"/>
  <c r="AE141" i="9" s="1"/>
  <c r="AG141" i="9" s="1"/>
  <c r="AF72" i="9"/>
  <c r="S79" i="9"/>
  <c r="AD79" i="9" s="1"/>
  <c r="AE79" i="9" s="1"/>
  <c r="AG79" i="9" s="1"/>
  <c r="AF102" i="9"/>
  <c r="AB56" i="7"/>
  <c r="AB143" i="7"/>
  <c r="AD162" i="9"/>
  <c r="AE162" i="9" s="1"/>
  <c r="AG162" i="9" s="1"/>
  <c r="I141" i="9"/>
  <c r="AD141" i="7"/>
  <c r="AE141" i="7" s="1"/>
  <c r="I185" i="9"/>
  <c r="AD185" i="7"/>
  <c r="AE185" i="7" s="1"/>
  <c r="AG115" i="9"/>
  <c r="I135" i="9"/>
  <c r="AF135" i="9" s="1"/>
  <c r="AD135" i="7"/>
  <c r="AE135" i="7" s="1"/>
  <c r="I50" i="9"/>
  <c r="AD50" i="7"/>
  <c r="AE50" i="7" s="1"/>
  <c r="AC179" i="9"/>
  <c r="I109" i="9"/>
  <c r="AF109" i="9" s="1"/>
  <c r="AD109" i="7"/>
  <c r="AE109" i="7" s="1"/>
  <c r="S171" i="9"/>
  <c r="AD171" i="9" s="1"/>
  <c r="AE171" i="9" s="1"/>
  <c r="AG171" i="9" s="1"/>
  <c r="AG103" i="9"/>
  <c r="AD51" i="9"/>
  <c r="AE51" i="9" s="1"/>
  <c r="AG51" i="9" s="1"/>
  <c r="I120" i="9"/>
  <c r="AF120" i="9" s="1"/>
  <c r="AD120" i="7"/>
  <c r="AE120" i="7" s="1"/>
  <c r="AF144" i="9"/>
  <c r="AF46" i="9"/>
  <c r="AF178" i="9"/>
  <c r="AF155" i="9"/>
  <c r="S170" i="9"/>
  <c r="AD170" i="9" s="1"/>
  <c r="AE170" i="9" s="1"/>
  <c r="AG170" i="9" s="1"/>
  <c r="AD106" i="9"/>
  <c r="AE106" i="9" s="1"/>
  <c r="AG106" i="9" s="1"/>
  <c r="I117" i="9"/>
  <c r="AF117" i="9" s="1"/>
  <c r="AD117" i="7"/>
  <c r="AE117" i="7" s="1"/>
  <c r="AD100" i="9"/>
  <c r="AE100" i="9" s="1"/>
  <c r="AG100" i="9" s="1"/>
  <c r="S147" i="9"/>
  <c r="AF119" i="9"/>
  <c r="AF184" i="9" l="1"/>
  <c r="AG105" i="9"/>
  <c r="I133" i="9"/>
  <c r="AF133" i="9" s="1"/>
  <c r="AD133" i="7"/>
  <c r="AE133" i="7" s="1"/>
  <c r="I85" i="9"/>
  <c r="AD85" i="7"/>
  <c r="AE85" i="7" s="1"/>
  <c r="I66" i="9"/>
  <c r="AF66" i="9" s="1"/>
  <c r="AD66" i="7"/>
  <c r="AE66" i="7" s="1"/>
  <c r="AG41" i="9"/>
  <c r="AG64" i="9"/>
  <c r="AD77" i="9"/>
  <c r="AE77" i="9" s="1"/>
  <c r="AG77" i="9" s="1"/>
  <c r="AG109" i="9"/>
  <c r="I56" i="9"/>
  <c r="AF56" i="9" s="1"/>
  <c r="AD56" i="7"/>
  <c r="AE56" i="7" s="1"/>
  <c r="AG73" i="9"/>
  <c r="I82" i="9"/>
  <c r="AD82" i="7"/>
  <c r="AE82" i="7" s="1"/>
  <c r="AD147" i="9"/>
  <c r="AE147" i="9" s="1"/>
  <c r="AG147" i="9" s="1"/>
  <c r="I174" i="9"/>
  <c r="AD174" i="7"/>
  <c r="AE174" i="7" s="1"/>
  <c r="AF25" i="9"/>
  <c r="AF126" i="9"/>
  <c r="AG56" i="9"/>
  <c r="AG6" i="9"/>
  <c r="P81" i="10"/>
  <c r="AD174" i="9"/>
  <c r="AE174" i="9" s="1"/>
  <c r="AG174" i="9" s="1"/>
  <c r="AG29" i="9"/>
  <c r="AG90" i="9"/>
  <c r="AF74" i="9"/>
  <c r="R86" i="10"/>
  <c r="Q85" i="10" s="1"/>
  <c r="P84" i="10" s="1"/>
  <c r="O83" i="10" s="1"/>
  <c r="N82" i="10" s="1"/>
  <c r="AF43" i="9"/>
  <c r="AF45" i="9"/>
  <c r="I77" i="9"/>
  <c r="AD77" i="7"/>
  <c r="AE77" i="7" s="1"/>
  <c r="AG133" i="9"/>
  <c r="AF163" i="9"/>
  <c r="AF137" i="9"/>
  <c r="AD93" i="9"/>
  <c r="AE93" i="9" s="1"/>
  <c r="AG93" i="9" s="1"/>
  <c r="AD131" i="9"/>
  <c r="AE131" i="9" s="1"/>
  <c r="AG131" i="9" s="1"/>
  <c r="AD176" i="9"/>
  <c r="AE176" i="9" s="1"/>
  <c r="AG176" i="9" s="1"/>
  <c r="AF87" i="9"/>
  <c r="I172" i="9"/>
  <c r="AF172" i="9" s="1"/>
  <c r="AD172" i="7"/>
  <c r="AE172" i="7" s="1"/>
  <c r="I89" i="9"/>
  <c r="AD89" i="7"/>
  <c r="AE89" i="7" s="1"/>
  <c r="I169" i="9"/>
  <c r="AF169" i="9" s="1"/>
  <c r="AD169" i="7"/>
  <c r="AE169" i="7" s="1"/>
  <c r="AG22" i="9"/>
  <c r="AF113" i="9"/>
  <c r="AG66" i="9"/>
  <c r="B7" i="11"/>
  <c r="S80" i="10"/>
  <c r="AF153" i="9"/>
  <c r="AF147" i="9"/>
  <c r="AF180" i="9"/>
  <c r="AF57" i="9"/>
  <c r="AD62" i="9"/>
  <c r="AE62" i="9" s="1"/>
  <c r="AG62" i="9" s="1"/>
  <c r="AG160" i="9"/>
  <c r="AD89" i="9"/>
  <c r="AE89" i="9" s="1"/>
  <c r="AG89" i="9" s="1"/>
  <c r="AG76" i="9"/>
  <c r="I52" i="9"/>
  <c r="AD52" i="7"/>
  <c r="AE52" i="7" s="1"/>
  <c r="AD84" i="9"/>
  <c r="AE84" i="9" s="1"/>
  <c r="AG31" i="9"/>
  <c r="AF100" i="9"/>
  <c r="I97" i="9"/>
  <c r="AD97" i="7"/>
  <c r="AE97" i="7" s="1"/>
  <c r="I96" i="9"/>
  <c r="AF96" i="9" s="1"/>
  <c r="AD96" i="7"/>
  <c r="AE96" i="7" s="1"/>
  <c r="AG12" i="9"/>
  <c r="AG11" i="9"/>
  <c r="AF106" i="9"/>
  <c r="AD82" i="9"/>
  <c r="AE82" i="9" s="1"/>
  <c r="AG82" i="9" s="1"/>
  <c r="AD97" i="9"/>
  <c r="AE97" i="9" s="1"/>
  <c r="AG97" i="9" s="1"/>
  <c r="AF83" i="9"/>
  <c r="AF71" i="9"/>
  <c r="AD185" i="9"/>
  <c r="AE185" i="9" s="1"/>
  <c r="AG185" i="9" s="1"/>
  <c r="AF162" i="9"/>
  <c r="AF148" i="9"/>
  <c r="AF150" i="9"/>
  <c r="AG40" i="9"/>
  <c r="I143" i="9"/>
  <c r="AF143" i="9" s="1"/>
  <c r="AD143" i="7"/>
  <c r="AE143" i="7" s="1"/>
  <c r="I75" i="9"/>
  <c r="AF75" i="9" s="1"/>
  <c r="AD75" i="7"/>
  <c r="AE75" i="7" s="1"/>
  <c r="I68" i="9"/>
  <c r="AF68" i="9" s="1"/>
  <c r="AD68" i="7"/>
  <c r="AE68" i="7" s="1"/>
  <c r="AF78" i="9"/>
  <c r="I179" i="9"/>
  <c r="AD179" i="7"/>
  <c r="AE179" i="7" s="1"/>
  <c r="R61" i="10"/>
  <c r="Q60" i="10" s="1"/>
  <c r="P59" i="10" s="1"/>
  <c r="AF171" i="9"/>
  <c r="AF141" i="9"/>
  <c r="U77" i="10"/>
  <c r="T76" i="10" s="1"/>
  <c r="S75" i="10" s="1"/>
  <c r="R74" i="10" s="1"/>
  <c r="U78" i="10"/>
  <c r="AG68" i="9"/>
  <c r="AF88" i="9"/>
  <c r="I81" i="9"/>
  <c r="AF81" i="9" s="1"/>
  <c r="AD81" i="7"/>
  <c r="AE81" i="7" s="1"/>
  <c r="AF65" i="9"/>
  <c r="AF62" i="9"/>
  <c r="U57" i="10"/>
  <c r="T56" i="10" s="1"/>
  <c r="S55" i="10" s="1"/>
  <c r="R54" i="10" s="1"/>
  <c r="Q53" i="10" s="1"/>
  <c r="P52" i="10" s="1"/>
  <c r="O51" i="10" s="1"/>
  <c r="N50" i="10" s="1"/>
  <c r="U58" i="10"/>
  <c r="I98" i="9"/>
  <c r="AF98" i="9" s="1"/>
  <c r="AD98" i="7"/>
  <c r="AE98" i="7" s="1"/>
  <c r="AG32" i="9"/>
  <c r="Q86" i="10"/>
  <c r="P85" i="10" s="1"/>
  <c r="O84" i="10" s="1"/>
  <c r="N83" i="10" s="1"/>
  <c r="M82" i="10" s="1"/>
  <c r="O81" i="10"/>
  <c r="AG135" i="9"/>
  <c r="AG108" i="9"/>
  <c r="AF170" i="9"/>
  <c r="AF37" i="9"/>
  <c r="AF79" i="9"/>
  <c r="I152" i="9"/>
  <c r="AF152" i="9" s="1"/>
  <c r="AD152" i="7"/>
  <c r="AE152" i="7" s="1"/>
  <c r="AG129" i="9"/>
  <c r="AF158" i="9"/>
  <c r="AD50" i="9"/>
  <c r="AE50" i="9" s="1"/>
  <c r="AG50" i="9" s="1"/>
  <c r="AF50" i="9"/>
  <c r="AG167" i="9"/>
  <c r="AF86" i="9"/>
  <c r="AD168" i="9"/>
  <c r="AE168" i="9" s="1"/>
  <c r="AG168" i="9" s="1"/>
  <c r="AG136" i="9"/>
  <c r="AG118" i="9"/>
  <c r="AG120" i="9"/>
  <c r="AF70" i="9"/>
  <c r="AG23" i="9"/>
  <c r="AG177" i="9"/>
  <c r="S61" i="10"/>
  <c r="R60" i="10" s="1"/>
  <c r="Q59" i="10" s="1"/>
  <c r="AD179" i="9"/>
  <c r="AE179" i="9" s="1"/>
  <c r="AG179" i="9" s="1"/>
  <c r="AG114" i="9"/>
  <c r="AG30" i="9"/>
  <c r="AF15" i="9"/>
  <c r="AF176" i="9"/>
  <c r="AF28" i="9"/>
  <c r="AD80" i="9"/>
  <c r="AE80" i="9" s="1"/>
  <c r="AG80" i="9" s="1"/>
  <c r="AF130" i="9"/>
  <c r="AG24" i="9"/>
  <c r="I84" i="9"/>
  <c r="AF84" i="9" s="1"/>
  <c r="AD84" i="7"/>
  <c r="AE84" i="7" s="1"/>
  <c r="AG149" i="9"/>
  <c r="AG143" i="9"/>
  <c r="AF19" i="9"/>
  <c r="AG14" i="9"/>
  <c r="AG67" i="9"/>
  <c r="AD88" i="9"/>
  <c r="AE88" i="9" s="1"/>
  <c r="AG88" i="9" s="1"/>
  <c r="AF51" i="9"/>
  <c r="AG7" i="9"/>
  <c r="P87" i="10"/>
  <c r="AF139" i="9"/>
  <c r="AF92" i="9"/>
  <c r="AD85" i="9"/>
  <c r="AE85" i="9" s="1"/>
  <c r="AG85" i="9" s="1"/>
  <c r="AF60" i="9"/>
  <c r="AG166" i="9"/>
  <c r="AB188" i="7" l="1"/>
  <c r="B9" i="11" s="1"/>
  <c r="AG98" i="9"/>
  <c r="L81" i="10"/>
  <c r="AF52" i="9"/>
  <c r="AG52" i="9"/>
  <c r="B15" i="11" s="1"/>
  <c r="AB189" i="7"/>
  <c r="B10" i="11" s="1"/>
  <c r="AG84" i="9"/>
  <c r="N81" i="10"/>
  <c r="AF93" i="9"/>
  <c r="AF85" i="9"/>
  <c r="Q61" i="10"/>
  <c r="P60" i="10" s="1"/>
  <c r="O59" i="10" s="1"/>
  <c r="M81" i="10"/>
  <c r="AF82" i="9"/>
  <c r="AG75" i="9"/>
  <c r="B6" i="11"/>
  <c r="AB191" i="7"/>
  <c r="P86" i="10"/>
  <c r="O85" i="10" s="1"/>
  <c r="N84" i="10" s="1"/>
  <c r="M83" i="10" s="1"/>
  <c r="L82" i="10" s="1"/>
  <c r="K81" i="10" s="1"/>
  <c r="R79" i="10"/>
  <c r="R80" i="10"/>
  <c r="O87" i="10"/>
  <c r="AF80" i="9"/>
  <c r="T57" i="10"/>
  <c r="S56" i="10" s="1"/>
  <c r="R55" i="10" s="1"/>
  <c r="Q54" i="10" s="1"/>
  <c r="P53" i="10" s="1"/>
  <c r="O52" i="10" s="1"/>
  <c r="N51" i="10" s="1"/>
  <c r="M50" i="10" s="1"/>
  <c r="L49" i="10" s="1"/>
  <c r="T58" i="10"/>
  <c r="AF89" i="9"/>
  <c r="AF168" i="9"/>
  <c r="AG169" i="9"/>
  <c r="AB190" i="7"/>
  <c r="B11" i="11" s="1"/>
  <c r="AG172" i="9"/>
  <c r="AF179" i="9"/>
  <c r="AF97" i="9"/>
  <c r="AG152" i="9"/>
  <c r="T77" i="10"/>
  <c r="S76" i="10" s="1"/>
  <c r="R75" i="10" s="1"/>
  <c r="Q74" i="10" s="1"/>
  <c r="T78" i="10"/>
  <c r="AF185" i="9"/>
  <c r="AG81" i="9"/>
  <c r="AF77" i="9"/>
  <c r="AF174" i="9"/>
  <c r="AF131" i="9"/>
  <c r="AG96" i="9"/>
  <c r="S57" i="10" l="1"/>
  <c r="R56" i="10" s="1"/>
  <c r="Q55" i="10" s="1"/>
  <c r="P54" i="10" s="1"/>
  <c r="O53" i="10" s="1"/>
  <c r="N52" i="10" s="1"/>
  <c r="M51" i="10" s="1"/>
  <c r="L50" i="10" s="1"/>
  <c r="K49" i="10" s="1"/>
  <c r="J48" i="10" s="1"/>
  <c r="S58" i="10"/>
  <c r="O86" i="10"/>
  <c r="N85" i="10" s="1"/>
  <c r="M84" i="10" s="1"/>
  <c r="L83" i="10" s="1"/>
  <c r="K82" i="10" s="1"/>
  <c r="J81" i="10" s="1"/>
  <c r="S77" i="10"/>
  <c r="R76" i="10" s="1"/>
  <c r="Q75" i="10" s="1"/>
  <c r="P74" i="10" s="1"/>
  <c r="S78" i="10"/>
  <c r="N86" i="10"/>
  <c r="M85" i="10" s="1"/>
  <c r="L84" i="10" s="1"/>
  <c r="K83" i="10" s="1"/>
  <c r="J82" i="10" s="1"/>
  <c r="I81" i="10" s="1"/>
  <c r="Q79" i="10"/>
  <c r="Q80" i="10"/>
  <c r="P79" i="10" l="1"/>
  <c r="P80" i="10"/>
  <c r="R57" i="10"/>
  <c r="Q56" i="10" s="1"/>
  <c r="P55" i="10" s="1"/>
  <c r="O54" i="10" s="1"/>
  <c r="N53" i="10" s="1"/>
  <c r="M52" i="10" s="1"/>
  <c r="L51" i="10" s="1"/>
  <c r="K50" i="10" s="1"/>
  <c r="J49" i="10" s="1"/>
  <c r="I48" i="10" s="1"/>
  <c r="H47" i="10" s="1"/>
  <c r="R58" i="10"/>
  <c r="R77" i="10"/>
  <c r="Q76" i="10" s="1"/>
  <c r="P75" i="10" s="1"/>
  <c r="O74" i="10" s="1"/>
  <c r="R78" i="10"/>
  <c r="O79" i="10" l="1"/>
  <c r="O80" i="10"/>
  <c r="Q57" i="10"/>
  <c r="P56" i="10" s="1"/>
  <c r="O55" i="10" s="1"/>
  <c r="N54" i="10" s="1"/>
  <c r="M53" i="10" s="1"/>
  <c r="L52" i="10" s="1"/>
  <c r="K51" i="10" s="1"/>
  <c r="J50" i="10" s="1"/>
  <c r="I49" i="10" s="1"/>
  <c r="H48" i="10" s="1"/>
  <c r="G47" i="10" s="1"/>
  <c r="F46" i="10" s="1"/>
  <c r="Q58" i="10"/>
  <c r="Q77" i="10"/>
  <c r="P76" i="10" s="1"/>
  <c r="O75" i="10" s="1"/>
  <c r="N74" i="10" s="1"/>
  <c r="Q78" i="10"/>
  <c r="P77" i="10" l="1"/>
  <c r="O76" i="10" s="1"/>
  <c r="N75" i="10" s="1"/>
  <c r="M74" i="10" s="1"/>
  <c r="P78" i="10"/>
  <c r="N79" i="10"/>
  <c r="N80" i="10"/>
  <c r="P57" i="10"/>
  <c r="O56" i="10" s="1"/>
  <c r="N55" i="10" s="1"/>
  <c r="M54" i="10" s="1"/>
  <c r="L53" i="10" s="1"/>
  <c r="K52" i="10" s="1"/>
  <c r="J51" i="10" s="1"/>
  <c r="I50" i="10" s="1"/>
  <c r="H49" i="10" s="1"/>
  <c r="G48" i="10" s="1"/>
  <c r="F47" i="10" s="1"/>
  <c r="E46" i="10" s="1"/>
  <c r="P58" i="10"/>
  <c r="O57" i="10" l="1"/>
  <c r="N56" i="10" s="1"/>
  <c r="M55" i="10" s="1"/>
  <c r="L54" i="10" s="1"/>
  <c r="K53" i="10" s="1"/>
  <c r="J52" i="10" s="1"/>
  <c r="I51" i="10" s="1"/>
  <c r="H50" i="10" s="1"/>
  <c r="G49" i="10" s="1"/>
  <c r="F48" i="10" s="1"/>
  <c r="E47" i="10" s="1"/>
  <c r="D46" i="10" s="1"/>
  <c r="O58" i="10"/>
  <c r="M79" i="10"/>
  <c r="M80" i="10"/>
  <c r="O77" i="10"/>
  <c r="N76" i="10" s="1"/>
  <c r="M75" i="10" s="1"/>
  <c r="L74" i="10" s="1"/>
  <c r="O78" i="10"/>
  <c r="L79" i="10" l="1"/>
  <c r="L80" i="10"/>
  <c r="N77" i="10"/>
  <c r="M76" i="10" s="1"/>
  <c r="L75" i="10" s="1"/>
  <c r="K74" i="10" s="1"/>
  <c r="N78" i="10"/>
  <c r="N57" i="10"/>
  <c r="M56" i="10" s="1"/>
  <c r="L55" i="10" s="1"/>
  <c r="K54" i="10" s="1"/>
  <c r="J53" i="10" s="1"/>
  <c r="I52" i="10" s="1"/>
  <c r="H51" i="10" s="1"/>
  <c r="G50" i="10" s="1"/>
  <c r="F49" i="10" s="1"/>
  <c r="E48" i="10" s="1"/>
  <c r="D47" i="10" s="1"/>
  <c r="C46" i="10" s="1"/>
  <c r="N58" i="10"/>
  <c r="M57" i="10" s="1"/>
  <c r="L56" i="10" s="1"/>
  <c r="K55" i="10" s="1"/>
  <c r="J54" i="10" s="1"/>
  <c r="I53" i="10" s="1"/>
  <c r="H52" i="10" s="1"/>
  <c r="G51" i="10" s="1"/>
  <c r="F50" i="10" s="1"/>
  <c r="E49" i="10" s="1"/>
  <c r="D48" i="10" s="1"/>
  <c r="C47" i="10" s="1"/>
  <c r="B46" i="10" s="1"/>
  <c r="K79" i="10" l="1"/>
  <c r="K80" i="10"/>
  <c r="B103" i="10"/>
  <c r="M77" i="10"/>
  <c r="L76" i="10" s="1"/>
  <c r="K75" i="10" s="1"/>
  <c r="J74" i="10" s="1"/>
  <c r="M78" i="10"/>
  <c r="J79" i="10" l="1"/>
  <c r="J80" i="10"/>
  <c r="L77" i="10"/>
  <c r="K76" i="10" s="1"/>
  <c r="J75" i="10" s="1"/>
  <c r="I74" i="10" s="1"/>
  <c r="L78" i="10"/>
  <c r="K77" i="10" l="1"/>
  <c r="J76" i="10" s="1"/>
  <c r="I75" i="10" s="1"/>
  <c r="H74" i="10" s="1"/>
  <c r="K78" i="10"/>
  <c r="I79" i="10"/>
  <c r="I80" i="10"/>
  <c r="H79" i="10" l="1"/>
  <c r="H80" i="10"/>
  <c r="G79" i="10" s="1"/>
  <c r="J77" i="10"/>
  <c r="I76" i="10" s="1"/>
  <c r="H75" i="10" s="1"/>
  <c r="G74" i="10" s="1"/>
  <c r="J78" i="10"/>
  <c r="I77" i="10" l="1"/>
  <c r="H76" i="10" s="1"/>
  <c r="G75" i="10" s="1"/>
  <c r="F74" i="10" s="1"/>
  <c r="I78" i="10"/>
  <c r="H77" i="10" l="1"/>
  <c r="G76" i="10" s="1"/>
  <c r="F75" i="10" s="1"/>
  <c r="E74" i="10" s="1"/>
  <c r="H78" i="10"/>
  <c r="G77" i="10" l="1"/>
  <c r="F76" i="10" s="1"/>
  <c r="E75" i="10" s="1"/>
  <c r="D74" i="10" s="1"/>
  <c r="G78" i="10"/>
  <c r="F77" i="10" l="1"/>
  <c r="E76" i="10" s="1"/>
  <c r="D75" i="10" s="1"/>
  <c r="C74" i="10" s="1"/>
  <c r="F78" i="10"/>
  <c r="E77" i="10" s="1"/>
  <c r="D76" i="10" s="1"/>
  <c r="C75" i="10" s="1"/>
  <c r="B74" i="10" s="1"/>
  <c r="B104" i="10" l="1"/>
  <c r="B105" i="10"/>
</calcChain>
</file>

<file path=xl/sharedStrings.xml><?xml version="1.0" encoding="utf-8"?>
<sst xmlns="http://schemas.openxmlformats.org/spreadsheetml/2006/main" count="353" uniqueCount="309">
  <si>
    <t>B401 — Continuous-Time Derivatives Pricing</t>
  </si>
  <si>
    <t>Parts 1 &amp; 2 (Tasks I–VII) — Live-Formula Workbook</t>
  </si>
  <si>
    <t>Product</t>
  </si>
  <si>
    <t>Bonus-Zertifikat mit Cap (Bonus Cap certificate)</t>
  </si>
  <si>
    <t>WKN / ISIN</t>
  </si>
  <si>
    <t>DU2076 / DE000DU20767</t>
  </si>
  <si>
    <t>Issuer</t>
  </si>
  <si>
    <t>DZ BANK AG</t>
  </si>
  <si>
    <t>Underlying</t>
  </si>
  <si>
    <t>Rheinmetall AG (ISIN DE0007030009), XETRA, EUR</t>
  </si>
  <si>
    <t>Valuation method</t>
  </si>
  <si>
    <t>Closed-form Rubinstein-Reiner (1991): capped forward + down-and-out put</t>
  </si>
  <si>
    <t>Risk-free curve</t>
  </si>
  <si>
    <t>ECB AAA Svensson (1994), daily, maturity-matched</t>
  </si>
  <si>
    <t>Volatility</t>
  </si>
  <si>
    <t>EWMA (lambda=0.94), imported per day (derived in Python notebook)</t>
  </si>
  <si>
    <t>SOURCING LEGEND</t>
  </si>
  <si>
    <t>Blue text</t>
  </si>
  <si>
    <t>Hard input / contractual term (entered once, sourced)</t>
  </si>
  <si>
    <t>Black text</t>
  </si>
  <si>
    <t>Formula / calculation</t>
  </si>
  <si>
    <t>Green text</t>
  </si>
  <si>
    <t>Link to a raw data worksheet</t>
  </si>
  <si>
    <t>Yellow fill</t>
  </si>
  <si>
    <t>Key assumption</t>
  </si>
  <si>
    <t>WORKSHEETS</t>
  </si>
  <si>
    <t>Data_Stock</t>
  </si>
  <si>
    <t>RHM.DE daily close + EWMA vol + Python tree cross-check</t>
  </si>
  <si>
    <t>Data_Cert</t>
  </si>
  <si>
    <t>DU2076 market prices (onvista/ariva export, German format)</t>
  </si>
  <si>
    <t>Data_Svensson</t>
  </si>
  <si>
    <t>ECB AAA Svensson parameters, daily (window)</t>
  </si>
  <si>
    <t>Inputs</t>
  </si>
  <si>
    <t>All named ranges (contractual terms + model params)</t>
  </si>
  <si>
    <t>P1_Tasks_I_IV</t>
  </si>
  <si>
    <t>Investor profile, product design, payoff, market size</t>
  </si>
  <si>
    <t>P2_TaskV_Valuation</t>
  </si>
  <si>
    <t>Daily model vs market price, ME/MAE/RMSE</t>
  </si>
  <si>
    <t>P2_TaskVI_Greeks</t>
  </si>
  <si>
    <t>Delta/Gamma/Vega/Theta/Rho via finite differences</t>
  </si>
  <si>
    <t>P2_TaskVII_Replication</t>
  </si>
  <si>
    <t>Daily replicating portfolio, equity fraction</t>
  </si>
  <si>
    <t>CRR_CrossCheck</t>
  </si>
  <si>
    <t>Binomial tree (N=50) cross-check of the closed form</t>
  </si>
  <si>
    <t>Results</t>
  </si>
  <si>
    <t>Key-output summary</t>
  </si>
  <si>
    <t>INPUTS — named ranges (contractual terms &amp; model parameters)</t>
  </si>
  <si>
    <t>Parameter</t>
  </si>
  <si>
    <t>Value</t>
  </si>
  <si>
    <t>Name</t>
  </si>
  <si>
    <t>Source / Derivation</t>
  </si>
  <si>
    <t>Cap / Höchstbetrag (EUR)</t>
  </si>
  <si>
    <t>Cap</t>
  </si>
  <si>
    <t>DZ BANK KID DE000DU20767, 12.06.2026 (dzbank-derivate.de)</t>
  </si>
  <si>
    <t>Bonus level (EUR)</t>
  </si>
  <si>
    <t>Bonus</t>
  </si>
  <si>
    <t>DZ BANK KID — Bonusbetrag</t>
  </si>
  <si>
    <t>Barrier / Schwelle (EUR)</t>
  </si>
  <si>
    <t>Barrier</t>
  </si>
  <si>
    <t>DZ BANK KID — Barriere, observed continuously</t>
  </si>
  <si>
    <t>Subscription ratio</t>
  </si>
  <si>
    <t>Ratio</t>
  </si>
  <si>
    <t>DZ BANK KID — Bezugsverhältnis</t>
  </si>
  <si>
    <t>Issue date</t>
  </si>
  <si>
    <t>IssueDate</t>
  </si>
  <si>
    <t>DZ BANK KID — Emissionstag</t>
  </si>
  <si>
    <t>Valuation date (Bewertungstag)</t>
  </si>
  <si>
    <t>MaturityDate</t>
  </si>
  <si>
    <t>DZ BANK KID — final fixing; T measured to this date</t>
  </si>
  <si>
    <t>Redemption date</t>
  </si>
  <si>
    <t>RedemptionDate</t>
  </si>
  <si>
    <t>DZ BANK KID — Rückzahlungstermin</t>
  </si>
  <si>
    <t>Annual dividend / share (EUR)</t>
  </si>
  <si>
    <t>AnnualDiv</t>
  </si>
  <si>
    <t>Rheinmetall AG FY guidance (investor relations)</t>
  </si>
  <si>
    <t>Reference spot (latest, EUR)</t>
  </si>
  <si>
    <t>RefSpot</t>
  </si>
  <si>
    <t>Last RHM.DE close in window (Data_Stock)</t>
  </si>
  <si>
    <t>Dividend yield q</t>
  </si>
  <si>
    <t>q</t>
  </si>
  <si>
    <t>Continuous q = annual dividend / reference spot</t>
  </si>
  <si>
    <t>EWMA lambda</t>
  </si>
  <si>
    <t>EWMAlambda</t>
  </si>
  <si>
    <t>RiskMetrics standard; EWMA computed in Python notebook</t>
  </si>
  <si>
    <t>Delta/Gamma bump (dS)</t>
  </si>
  <si>
    <t>dS</t>
  </si>
  <si>
    <t>Central finite-difference step on S</t>
  </si>
  <si>
    <t>Vega bump (dSig)</t>
  </si>
  <si>
    <t>dSig</t>
  </si>
  <si>
    <t>Central FD step on volatility</t>
  </si>
  <si>
    <t>Theta step (years)</t>
  </si>
  <si>
    <t>dT</t>
  </si>
  <si>
    <t>One trading day (Theta annualised on 365 convention)</t>
  </si>
  <si>
    <t>Rho bump (dR)</t>
  </si>
  <si>
    <t>dR</t>
  </si>
  <si>
    <t>Central FD step on rate (1 bp)</t>
  </si>
  <si>
    <t>PART 1 — DESIGN-DATE SNAPSHOT (01 Jun 2026)</t>
  </si>
  <si>
    <t>Design spot S0 (EUR)</t>
  </si>
  <si>
    <t>S0_d</t>
  </si>
  <si>
    <t>Latest RHM.DE close</t>
  </si>
  <si>
    <t>ATM strike K = S0</t>
  </si>
  <si>
    <t>K_d</t>
  </si>
  <si>
    <t>At-the-money</t>
  </si>
  <si>
    <t>Cap strike (130% of S0)</t>
  </si>
  <si>
    <t>KCap_d</t>
  </si>
  <si>
    <t>Cap at +30%</t>
  </si>
  <si>
    <t>Design horizon T (yrs)</t>
  </si>
  <si>
    <t>T_d</t>
  </si>
  <si>
    <t>3-year note</t>
  </si>
  <si>
    <t>Design vol (EWMA latest)</t>
  </si>
  <si>
    <t>Sig_d</t>
  </si>
  <si>
    <t>Latest EWMA vol (Data_Stock)</t>
  </si>
  <si>
    <t>Svensson beta0 (design)</t>
  </si>
  <si>
    <t>svb0</t>
  </si>
  <si>
    <t>ECB AAA params 01 Jun 2026</t>
  </si>
  <si>
    <t>Svensson beta1 (design)</t>
  </si>
  <si>
    <t>svb1</t>
  </si>
  <si>
    <t>Svensson beta2 (design)</t>
  </si>
  <si>
    <t>svb2</t>
  </si>
  <si>
    <t>Svensson beta3 (design)</t>
  </si>
  <si>
    <t>svb3</t>
  </si>
  <si>
    <t>Svensson tau1 (design)</t>
  </si>
  <si>
    <t>svt1</t>
  </si>
  <si>
    <t>Svensson tau2 (design)</t>
  </si>
  <si>
    <t>svt2</t>
  </si>
  <si>
    <t>Data_Stock — Rheinmetall AG (RHM.DE) daily</t>
  </si>
  <si>
    <t>Source: Yahoo Finance RHM.DE (auto-adjusted close), XETRA EUR | EWMA sigma (lambda=0.94) &amp; Python N=200 tree price reconciled from notebook | export 2026-06-15</t>
  </si>
  <si>
    <t>Date</t>
  </si>
  <si>
    <t>RHM_Spot_EUR</t>
  </si>
  <si>
    <t>EWMA_sigma</t>
  </si>
  <si>
    <t>Tree_Model_Py</t>
  </si>
  <si>
    <t>Data_Cert — DU2076 certificate market prices</t>
  </si>
  <si>
    <t>Source: onvista.de / ariva.de historical export (DU2076) | German format parsed (";" sep, comma decimal) | Schluss = closing price (EUR)</t>
  </si>
  <si>
    <t>Open</t>
  </si>
  <si>
    <t>High</t>
  </si>
  <si>
    <t>Low</t>
  </si>
  <si>
    <t>Close_EUR</t>
  </si>
  <si>
    <t>Data_Svensson — ECB AAA yield-curve parameters (Svensson 1994)</t>
  </si>
  <si>
    <t>Source: ECB Data Portal, AAA-rated euro-area sovereign curve, series SV_C_YM (data.ecb.europa.eu) | window from 2025-09-01 | dates ascending for approx-match lookup</t>
  </si>
  <si>
    <t>beta0</t>
  </si>
  <si>
    <t>beta1</t>
  </si>
  <si>
    <t>beta2</t>
  </si>
  <si>
    <t>beta3</t>
  </si>
  <si>
    <t>tau1</t>
  </si>
  <si>
    <t>tau2</t>
  </si>
  <si>
    <t>PART 1 — Tasks I–IV (no pricing required; figures below are design-validation only)</t>
  </si>
  <si>
    <t>Task I — Investor profile</t>
  </si>
  <si>
    <t>Target: German retail 'Sicherheitsorientierter Verteidigungsinvestor' (age 40–60, 3–5y horizon, low-to-moderate risk). Structurally bullish on European re-armament and Rheinmetall (record order backlog) over ~3y (+15–30% view), but cannot tolerate Rheinmetall's ~54% single-stock volatility / drawdown risk. Capital preservation at maturity is non-negotiable. Needs Rheinmetall upside without permanent capital impairment.</t>
  </si>
  <si>
    <t>Task II — Product design: Capped Capital-Protected Participation Note on RHM.DE</t>
  </si>
  <si>
    <t>Component</t>
  </si>
  <si>
    <t>Position</t>
  </si>
  <si>
    <t>Role</t>
  </si>
  <si>
    <t>Zero-coupon bond (face = S0)</t>
  </si>
  <si>
    <t>Long</t>
  </si>
  <si>
    <t>Guarantees 100% capital back at maturity</t>
  </si>
  <si>
    <t>ATM European call (K = S0)</t>
  </si>
  <si>
    <t>Long (alpha units)</t>
  </si>
  <si>
    <t>Participation in RHM gains above S0</t>
  </si>
  <si>
    <t>OTM European call (K = 130% S0)</t>
  </si>
  <si>
    <t>Short (alpha units)</t>
  </si>
  <si>
    <t>Caps gain at ~30%; premium funds higher alpha</t>
  </si>
  <si>
    <t>Design pricing (Svensson 3y, BS calls) — validation of alpha</t>
  </si>
  <si>
    <t>3y Svensson factor f1</t>
  </si>
  <si>
    <t>3y Svensson factor f2</t>
  </si>
  <si>
    <t>3y Svensson factor f3</t>
  </si>
  <si>
    <t>Design rate r(3y)</t>
  </si>
  <si>
    <t>ZCB present value</t>
  </si>
  <si>
    <t>ATM call d1</t>
  </si>
  <si>
    <t>ATM call value</t>
  </si>
  <si>
    <t>Cap call d1</t>
  </si>
  <si>
    <t>Cap call value</t>
  </si>
  <si>
    <t>Call spread (long-short)</t>
  </si>
  <si>
    <t>Participation rate alpha</t>
  </si>
  <si>
    <t>Max gain (S_T&gt;=Cap), % nominal</t>
  </si>
  <si>
    <t>Task III — Payoff at maturity (per unit nominal S0)</t>
  </si>
  <si>
    <t>S_T / S0</t>
  </si>
  <si>
    <t>S_T (EUR)</t>
  </si>
  <si>
    <t>Note payoff (EUR)</t>
  </si>
  <si>
    <t>Return %</t>
  </si>
  <si>
    <t>Task IV — German market-size estimate (capital-protection participation segment)</t>
  </si>
  <si>
    <t>Total German structured-product market (EUR bn)</t>
  </si>
  <si>
    <t>Source: BSW 2023 market report</t>
  </si>
  <si>
    <t>Kapitalschutz share of total</t>
  </si>
  <si>
    <t>Source: BSW 2023, slide 13</t>
  </si>
  <si>
    <t>Kapitalschutz segment (EUR bn)</t>
  </si>
  <si>
    <t>Participation-note share of segment</t>
  </si>
  <si>
    <t>Source: Author estimate</t>
  </si>
  <si>
    <t>Participation-note market (EUR bn)</t>
  </si>
  <si>
    <t>Active issues (est.)</t>
  </si>
  <si>
    <t>Source: ~6 issuers x ~20 products</t>
  </si>
  <si>
    <t>Average issue size (EUR mn)</t>
  </si>
  <si>
    <t>Task V — Daily valuation: closed-form Bonus Cap (Rubinstein-Reiner) vs market</t>
  </si>
  <si>
    <t>Model = capped forward [K*e^-rT - vanilla put] + down-and-out put (RR 1991, X&gt;H). r = daily ECB Svensson r(T_rem); sigma = EWMA(0.94); q from Inputs. All cells live formulas.</t>
  </si>
  <si>
    <t>S (EUR)</t>
  </si>
  <si>
    <t>sigma</t>
  </si>
  <si>
    <t>T_rem</t>
  </si>
  <si>
    <t>f1</t>
  </si>
  <si>
    <t>f2</t>
  </si>
  <si>
    <t>f3</t>
  </si>
  <si>
    <t>r(T)</t>
  </si>
  <si>
    <t>carry b</t>
  </si>
  <si>
    <t>sig*sqrtT</t>
  </si>
  <si>
    <t>mu</t>
  </si>
  <si>
    <t>x1</t>
  </si>
  <si>
    <t>x2</t>
  </si>
  <si>
    <t>y1</t>
  </si>
  <si>
    <t>y2</t>
  </si>
  <si>
    <t>A (van.put)</t>
  </si>
  <si>
    <t>B</t>
  </si>
  <si>
    <t>C</t>
  </si>
  <si>
    <t>D</t>
  </si>
  <si>
    <t>DO put</t>
  </si>
  <si>
    <t>capped fwd</t>
  </si>
  <si>
    <t>Model (EUR)</t>
  </si>
  <si>
    <t>Market (EUR)</t>
  </si>
  <si>
    <t>Error</t>
  </si>
  <si>
    <t>Error %</t>
  </si>
  <si>
    <t>Py tree (xchk)</t>
  </si>
  <si>
    <t>ME</t>
  </si>
  <si>
    <t>MAE</t>
  </si>
  <si>
    <t>RMSE</t>
  </si>
  <si>
    <t>n days</t>
  </si>
  <si>
    <t>Task VI — Greeks via central finite differences (closed-form RR price)</t>
  </si>
  <si>
    <t>Reference: S = first-day close; sigma = median EWMA over window; T = remaining maturity on day 1; r = Svensson r(T) on day 1. Bumps from Inputs (dS, dSig, dT, dR). Theta on 365-day convention.</t>
  </si>
  <si>
    <t>Reference inputs</t>
  </si>
  <si>
    <t>S_ref</t>
  </si>
  <si>
    <t>sigma_ref</t>
  </si>
  <si>
    <t>T_ref</t>
  </si>
  <si>
    <t>r_ref (Svensson)</t>
  </si>
  <si>
    <t>Quantity</t>
  </si>
  <si>
    <t>Base</t>
  </si>
  <si>
    <t>S+</t>
  </si>
  <si>
    <t>S-</t>
  </si>
  <si>
    <t>sig+</t>
  </si>
  <si>
    <t>sig-</t>
  </si>
  <si>
    <t>T-</t>
  </si>
  <si>
    <t>r+</t>
  </si>
  <si>
    <t>r-</t>
  </si>
  <si>
    <t>S</t>
  </si>
  <si>
    <t>T</t>
  </si>
  <si>
    <t>r</t>
  </si>
  <si>
    <t>A</t>
  </si>
  <si>
    <t>PRICE</t>
  </si>
  <si>
    <t>GREEKS</t>
  </si>
  <si>
    <t>Price</t>
  </si>
  <si>
    <t>Delta</t>
  </si>
  <si>
    <t>Gamma</t>
  </si>
  <si>
    <t>Vega (per +1 vol pt)</t>
  </si>
  <si>
    <t>Theta (per day, /365)</t>
  </si>
  <si>
    <t>Rho (per +1% rate)</t>
  </si>
  <si>
    <t>Task VII — Daily replicating portfolio (Delta hedge + bond)</t>
  </si>
  <si>
    <t>Delta via central FD on the closed-form price (reusing daily r, sigma, T from Task V). Equity leg = Delta*S; Bond leg = Price - Delta*S; Equity fraction = Delta*S / Price.</t>
  </si>
  <si>
    <t>carry</t>
  </si>
  <si>
    <t>x1+</t>
  </si>
  <si>
    <t>x2+</t>
  </si>
  <si>
    <t>y1+</t>
  </si>
  <si>
    <t>y2+</t>
  </si>
  <si>
    <t>A+</t>
  </si>
  <si>
    <t>B+</t>
  </si>
  <si>
    <t>C+</t>
  </si>
  <si>
    <t>D+</t>
  </si>
  <si>
    <t>Price+</t>
  </si>
  <si>
    <t>x1-</t>
  </si>
  <si>
    <t>x2-</t>
  </si>
  <si>
    <t>y1-</t>
  </si>
  <si>
    <t>y2-</t>
  </si>
  <si>
    <t>A-</t>
  </si>
  <si>
    <t>B-</t>
  </si>
  <si>
    <t>C-</t>
  </si>
  <si>
    <t>D-</t>
  </si>
  <si>
    <t>Price-</t>
  </si>
  <si>
    <t>Equity EUR</t>
  </si>
  <si>
    <t>Bond EUR</t>
  </si>
  <si>
    <t>Equity frac</t>
  </si>
  <si>
    <t>CRR binomial cross-check (N=25) — Bonus Cap on day 1</t>
  </si>
  <si>
    <t>Live 25-step CRR tree for the first valuation day. DO-put absorbs at the barrier; capped forward = min(S_T,Cap). Root sum compared to the closed-form and the Python N=200 tree. (Coarse N for legibility.)</t>
  </si>
  <si>
    <t>Parameters</t>
  </si>
  <si>
    <t>S0</t>
  </si>
  <si>
    <t>div q</t>
  </si>
  <si>
    <t>N</t>
  </si>
  <si>
    <t>dt</t>
  </si>
  <si>
    <t>u</t>
  </si>
  <si>
    <t>d</t>
  </si>
  <si>
    <t>p</t>
  </si>
  <si>
    <t>df</t>
  </si>
  <si>
    <t>Asset tree  S(i,j)=S0*u^j*d^(i-j)  [row=j node, col=i step]</t>
  </si>
  <si>
    <t>Down-and-out put value tree (absorb at barrier)</t>
  </si>
  <si>
    <t>Capped-forward value tree (min(S_T,Cap))</t>
  </si>
  <si>
    <t>CROSS-CHECK</t>
  </si>
  <si>
    <t>CRR DO-put (root)</t>
  </si>
  <si>
    <t>CRR capped fwd (root)</t>
  </si>
  <si>
    <t>CRR Bonus Cap (root)</t>
  </si>
  <si>
    <t>Closed-form (Task V day 1)</t>
  </si>
  <si>
    <t>Python N=200 tree</t>
  </si>
  <si>
    <t>Market (day 1)</t>
  </si>
  <si>
    <t>Results summary — DU2076 Bonus Cap</t>
  </si>
  <si>
    <t>Metric</t>
  </si>
  <si>
    <t>Valuation window start</t>
  </si>
  <si>
    <t>Valuation window end</t>
  </si>
  <si>
    <t>Number of trading days</t>
  </si>
  <si>
    <t>Mean model price (EUR)</t>
  </si>
  <si>
    <t>Mean market price (EUR)</t>
  </si>
  <si>
    <t>ME (EUR)</t>
  </si>
  <si>
    <t>MAE (EUR)</t>
  </si>
  <si>
    <t>RMSE (EUR)</t>
  </si>
  <si>
    <t>Delta (Task VI, day-1 ref)</t>
  </si>
  <si>
    <t>Mean equity fraction (Task VII)</t>
  </si>
  <si>
    <t>Part 1 participation alpha</t>
  </si>
  <si>
    <t>Part 1 participation-note market (EUR 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</si>
</sst>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%"/>
    <numFmt numFmtId="166" formatCode="0.000000"/>
    <numFmt numFmtId="167" formatCode="0.0000%"/>
    <numFmt numFmtId="168" formatCode="0.0"/>
    <numFmt numFmtId="169" formatCode="0.0000"/>
    <numFmt numFmtId="170" formatCode="#,##0.0"/>
    <numFmt numFmtId="171" formatCode="0.000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rgb="FFFFFFFF"/>
      <name val="Arial"/>
      <family val="2"/>
    </font>
    <font>
      <sz val="11"/>
      <color rgb="FF0000FF"/>
      <name val="Arial"/>
      <family val="2"/>
    </font>
    <font>
      <i/>
      <sz val="11"/>
      <color rgb="FF008000"/>
      <name val="Arial"/>
      <family val="2"/>
    </font>
    <font>
      <i/>
      <sz val="8"/>
      <color rgb="FF555555"/>
      <name val="Arial"/>
      <family val="2"/>
    </font>
    <font>
      <sz val="11"/>
      <color rgb="FF000000"/>
      <name val="Arial"/>
      <family val="2"/>
    </font>
    <font>
      <b/>
      <sz val="12"/>
      <color rgb="FF1F3864"/>
      <name val="Arial"/>
      <family val="2"/>
    </font>
    <font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4" fontId="6" fillId="3" borderId="1" xfId="0" applyNumberFormat="1" applyFont="1" applyFill="1" applyBorder="1"/>
    <xf numFmtId="0" fontId="7" fillId="0" borderId="0" xfId="0" applyFont="1"/>
    <xf numFmtId="0" fontId="8" fillId="0" borderId="0" xfId="0" applyFont="1"/>
    <xf numFmtId="2" fontId="6" fillId="3" borderId="1" xfId="0" applyNumberFormat="1" applyFont="1" applyFill="1" applyBorder="1"/>
    <xf numFmtId="164" fontId="6" fillId="3" borderId="1" xfId="0" applyNumberFormat="1" applyFont="1" applyFill="1" applyBorder="1"/>
    <xf numFmtId="4" fontId="9" fillId="3" borderId="1" xfId="0" applyNumberFormat="1" applyFont="1" applyFill="1" applyBorder="1"/>
    <xf numFmtId="10" fontId="9" fillId="3" borderId="1" xfId="0" applyNumberFormat="1" applyFont="1" applyFill="1" applyBorder="1"/>
    <xf numFmtId="165" fontId="6" fillId="3" borderId="1" xfId="0" applyNumberFormat="1" applyFont="1" applyFill="1" applyBorder="1"/>
    <xf numFmtId="166" fontId="9" fillId="3" borderId="1" xfId="0" applyNumberFormat="1" applyFont="1" applyFill="1" applyBorder="1"/>
    <xf numFmtId="167" fontId="6" fillId="3" borderId="1" xfId="0" applyNumberFormat="1" applyFont="1" applyFill="1" applyBorder="1"/>
    <xf numFmtId="168" fontId="6" fillId="3" borderId="1" xfId="0" applyNumberFormat="1" applyFont="1" applyFill="1" applyBorder="1"/>
    <xf numFmtId="165" fontId="9" fillId="3" borderId="1" xfId="0" applyNumberFormat="1" applyFont="1" applyFill="1" applyBorder="1"/>
    <xf numFmtId="166" fontId="6" fillId="3" borderId="1" xfId="0" applyNumberFormat="1" applyFont="1" applyFill="1" applyBorder="1"/>
    <xf numFmtId="0" fontId="8" fillId="4" borderId="0" xfId="0" applyFont="1" applyFill="1"/>
    <xf numFmtId="164" fontId="6" fillId="0" borderId="1" xfId="0" applyNumberFormat="1" applyFont="1" applyBorder="1"/>
    <xf numFmtId="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0" fontId="10" fillId="0" borderId="0" xfId="0" applyFont="1"/>
    <xf numFmtId="0" fontId="9" fillId="0" borderId="1" xfId="0" applyFont="1" applyBorder="1"/>
    <xf numFmtId="0" fontId="9" fillId="0" borderId="0" xfId="0" applyFont="1"/>
    <xf numFmtId="169" fontId="9" fillId="0" borderId="1" xfId="0" applyNumberFormat="1" applyFont="1" applyBorder="1"/>
    <xf numFmtId="10" fontId="9" fillId="0" borderId="1" xfId="0" applyNumberFormat="1" applyFont="1" applyBorder="1"/>
    <xf numFmtId="165" fontId="9" fillId="5" borderId="1" xfId="0" applyNumberFormat="1" applyFont="1" applyFill="1" applyBorder="1"/>
    <xf numFmtId="170" fontId="6" fillId="3" borderId="1" xfId="0" applyNumberFormat="1" applyFont="1" applyFill="1" applyBorder="1"/>
    <xf numFmtId="4" fontId="9" fillId="5" borderId="1" xfId="0" applyNumberFormat="1" applyFont="1" applyFill="1" applyBorder="1"/>
    <xf numFmtId="3" fontId="6" fillId="3" borderId="1" xfId="0" applyNumberFormat="1" applyFont="1" applyFill="1" applyBorder="1"/>
    <xf numFmtId="3" fontId="9" fillId="5" borderId="1" xfId="0" applyNumberFormat="1" applyFont="1" applyFill="1" applyBorder="1"/>
    <xf numFmtId="164" fontId="11" fillId="0" borderId="1" xfId="0" applyNumberFormat="1" applyFont="1" applyBorder="1"/>
    <xf numFmtId="4" fontId="11" fillId="0" borderId="1" xfId="0" applyNumberFormat="1" applyFont="1" applyBorder="1"/>
    <xf numFmtId="165" fontId="11" fillId="0" borderId="1" xfId="0" applyNumberFormat="1" applyFont="1" applyBorder="1"/>
    <xf numFmtId="171" fontId="9" fillId="0" borderId="1" xfId="0" applyNumberFormat="1" applyFont="1" applyBorder="1"/>
    <xf numFmtId="3" fontId="9" fillId="0" borderId="1" xfId="0" applyNumberFormat="1" applyFont="1" applyBorder="1"/>
    <xf numFmtId="171" fontId="9" fillId="3" borderId="1" xfId="0" applyNumberFormat="1" applyFont="1" applyFill="1" applyBorder="1"/>
    <xf numFmtId="0" fontId="5" fillId="2" borderId="0" xfId="0" applyFont="1" applyFill="1"/>
    <xf numFmtId="0" fontId="5" fillId="2" borderId="1" xfId="0" applyFont="1" applyFill="1" applyBorder="1" applyAlignment="1">
      <alignment horizontal="center"/>
    </xf>
    <xf numFmtId="169" fontId="9" fillId="5" borderId="1" xfId="0" applyNumberFormat="1" applyFont="1" applyFill="1" applyBorder="1"/>
    <xf numFmtId="166" fontId="9" fillId="5" borderId="1" xfId="0" applyNumberFormat="1" applyFont="1" applyFill="1" applyBorder="1"/>
    <xf numFmtId="10" fontId="11" fillId="0" borderId="1" xfId="0" applyNumberFormat="1" applyFont="1" applyBorder="1"/>
    <xf numFmtId="171" fontId="11" fillId="0" borderId="1" xfId="0" applyNumberFormat="1" applyFont="1" applyBorder="1"/>
    <xf numFmtId="169" fontId="11" fillId="0" borderId="1" xfId="0" applyNumberFormat="1" applyFont="1" applyBorder="1"/>
    <xf numFmtId="3" fontId="9" fillId="3" borderId="1" xfId="0" applyNumberFormat="1" applyFont="1" applyFill="1" applyBorder="1"/>
    <xf numFmtId="3" fontId="9" fillId="0" borderId="0" xfId="0" applyNumberFormat="1" applyFont="1"/>
    <xf numFmtId="4" fontId="9" fillId="0" borderId="0" xfId="0" applyNumberFormat="1" applyFont="1"/>
    <xf numFmtId="164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Equity fraction vs underlying (RHM.DE)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Equity fraction</c:v>
          </c:tx>
          <c:spPr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P2_TaskVII_Replication!$B$4:$B$186</c:f>
              <c:numCache>
                <c:formatCode>#,##0.00</c:formatCode>
                <c:ptCount val="183"/>
                <c:pt idx="0">
                  <c:v>1707.93</c:v>
                </c:pt>
                <c:pt idx="1">
                  <c:v>1727.24</c:v>
                </c:pt>
                <c:pt idx="2">
                  <c:v>1773.27</c:v>
                </c:pt>
                <c:pt idx="3">
                  <c:v>1761.39</c:v>
                </c:pt>
                <c:pt idx="4">
                  <c:v>1819.31</c:v>
                </c:pt>
                <c:pt idx="5">
                  <c:v>1861.89</c:v>
                </c:pt>
                <c:pt idx="6">
                  <c:v>1877.73</c:v>
                </c:pt>
                <c:pt idx="7">
                  <c:v>1930.7</c:v>
                </c:pt>
                <c:pt idx="8">
                  <c:v>1882.19</c:v>
                </c:pt>
                <c:pt idx="9">
                  <c:v>1869.81</c:v>
                </c:pt>
                <c:pt idx="10">
                  <c:v>1900.5</c:v>
                </c:pt>
                <c:pt idx="11">
                  <c:v>1908.92</c:v>
                </c:pt>
                <c:pt idx="12">
                  <c:v>1920.8</c:v>
                </c:pt>
                <c:pt idx="13">
                  <c:v>1893.08</c:v>
                </c:pt>
                <c:pt idx="14">
                  <c:v>1958.92</c:v>
                </c:pt>
                <c:pt idx="15">
                  <c:v>1958.92</c:v>
                </c:pt>
                <c:pt idx="16">
                  <c:v>1941.1</c:v>
                </c:pt>
                <c:pt idx="17">
                  <c:v>1968.82</c:v>
                </c:pt>
                <c:pt idx="18">
                  <c:v>1964.86</c:v>
                </c:pt>
                <c:pt idx="19">
                  <c:v>1931.69</c:v>
                </c:pt>
                <c:pt idx="20">
                  <c:v>1966.35</c:v>
                </c:pt>
                <c:pt idx="21">
                  <c:v>1943.08</c:v>
                </c:pt>
                <c:pt idx="22">
                  <c:v>1870.31</c:v>
                </c:pt>
                <c:pt idx="23">
                  <c:v>1865.85</c:v>
                </c:pt>
                <c:pt idx="24">
                  <c:v>1914.36</c:v>
                </c:pt>
                <c:pt idx="25">
                  <c:v>1885.16</c:v>
                </c:pt>
                <c:pt idx="26">
                  <c:v>1863.37</c:v>
                </c:pt>
                <c:pt idx="27">
                  <c:v>1860.9</c:v>
                </c:pt>
                <c:pt idx="28">
                  <c:v>1820.3</c:v>
                </c:pt>
                <c:pt idx="29">
                  <c:v>1727.73</c:v>
                </c:pt>
                <c:pt idx="30">
                  <c:v>1756.94</c:v>
                </c:pt>
                <c:pt idx="31">
                  <c:v>1742.09</c:v>
                </c:pt>
                <c:pt idx="32">
                  <c:v>1762.88</c:v>
                </c:pt>
                <c:pt idx="33">
                  <c:v>1733.18</c:v>
                </c:pt>
                <c:pt idx="34">
                  <c:v>1748.52</c:v>
                </c:pt>
                <c:pt idx="35">
                  <c:v>1746.54</c:v>
                </c:pt>
                <c:pt idx="36">
                  <c:v>1714.36</c:v>
                </c:pt>
                <c:pt idx="37">
                  <c:v>1727.73</c:v>
                </c:pt>
                <c:pt idx="38">
                  <c:v>1713.87</c:v>
                </c:pt>
                <c:pt idx="39">
                  <c:v>1688.13</c:v>
                </c:pt>
                <c:pt idx="40">
                  <c:v>1755.95</c:v>
                </c:pt>
                <c:pt idx="41">
                  <c:v>1711.89</c:v>
                </c:pt>
                <c:pt idx="42">
                  <c:v>1690.11</c:v>
                </c:pt>
                <c:pt idx="43">
                  <c:v>1691.1</c:v>
                </c:pt>
                <c:pt idx="44">
                  <c:v>1731.69</c:v>
                </c:pt>
                <c:pt idx="45">
                  <c:v>1769.31</c:v>
                </c:pt>
                <c:pt idx="46">
                  <c:v>1714.36</c:v>
                </c:pt>
                <c:pt idx="47">
                  <c:v>1727.73</c:v>
                </c:pt>
                <c:pt idx="48">
                  <c:v>1733.18</c:v>
                </c:pt>
                <c:pt idx="49">
                  <c:v>1709.91</c:v>
                </c:pt>
                <c:pt idx="50">
                  <c:v>1705.95</c:v>
                </c:pt>
                <c:pt idx="51">
                  <c:v>1699.02</c:v>
                </c:pt>
                <c:pt idx="52">
                  <c:v>1580.2</c:v>
                </c:pt>
                <c:pt idx="53">
                  <c:v>1620.8</c:v>
                </c:pt>
                <c:pt idx="54">
                  <c:v>1504.46</c:v>
                </c:pt>
                <c:pt idx="55">
                  <c:v>1428.72</c:v>
                </c:pt>
                <c:pt idx="56">
                  <c:v>1453.47</c:v>
                </c:pt>
                <c:pt idx="57">
                  <c:v>1480.7</c:v>
                </c:pt>
                <c:pt idx="58">
                  <c:v>1499.02</c:v>
                </c:pt>
                <c:pt idx="59">
                  <c:v>1465.85</c:v>
                </c:pt>
                <c:pt idx="60">
                  <c:v>1433.67</c:v>
                </c:pt>
                <c:pt idx="61">
                  <c:v>1475.25</c:v>
                </c:pt>
                <c:pt idx="62">
                  <c:v>1503.97</c:v>
                </c:pt>
                <c:pt idx="63">
                  <c:v>1524.76</c:v>
                </c:pt>
                <c:pt idx="64">
                  <c:v>1514.36</c:v>
                </c:pt>
                <c:pt idx="65">
                  <c:v>1569.31</c:v>
                </c:pt>
                <c:pt idx="66">
                  <c:v>1625.25</c:v>
                </c:pt>
                <c:pt idx="67">
                  <c:v>1594.07</c:v>
                </c:pt>
                <c:pt idx="68">
                  <c:v>1586.64</c:v>
                </c:pt>
                <c:pt idx="69">
                  <c:v>1600.01</c:v>
                </c:pt>
                <c:pt idx="70">
                  <c:v>1557.93</c:v>
                </c:pt>
                <c:pt idx="71">
                  <c:v>1487.14</c:v>
                </c:pt>
                <c:pt idx="72">
                  <c:v>1511.89</c:v>
                </c:pt>
                <c:pt idx="73">
                  <c:v>1534.66</c:v>
                </c:pt>
                <c:pt idx="74">
                  <c:v>1544.07</c:v>
                </c:pt>
                <c:pt idx="75">
                  <c:v>1529.71</c:v>
                </c:pt>
                <c:pt idx="76">
                  <c:v>1525.75</c:v>
                </c:pt>
                <c:pt idx="77">
                  <c:v>1510.9</c:v>
                </c:pt>
                <c:pt idx="78">
                  <c:v>1545.55</c:v>
                </c:pt>
                <c:pt idx="79">
                  <c:v>1586.15</c:v>
                </c:pt>
                <c:pt idx="80">
                  <c:v>1734.66</c:v>
                </c:pt>
                <c:pt idx="81">
                  <c:v>1723.27</c:v>
                </c:pt>
                <c:pt idx="82">
                  <c:v>1806.94</c:v>
                </c:pt>
                <c:pt idx="83">
                  <c:v>1832.68</c:v>
                </c:pt>
                <c:pt idx="84">
                  <c:v>1881.2</c:v>
                </c:pt>
                <c:pt idx="85">
                  <c:v>1871.3</c:v>
                </c:pt>
                <c:pt idx="86">
                  <c:v>1885.16</c:v>
                </c:pt>
                <c:pt idx="87">
                  <c:v>1880.21</c:v>
                </c:pt>
                <c:pt idx="88">
                  <c:v>1894.56</c:v>
                </c:pt>
                <c:pt idx="89">
                  <c:v>1883.18</c:v>
                </c:pt>
                <c:pt idx="90">
                  <c:v>1901</c:v>
                </c:pt>
                <c:pt idx="91">
                  <c:v>1890.11</c:v>
                </c:pt>
                <c:pt idx="92">
                  <c:v>1835.16</c:v>
                </c:pt>
                <c:pt idx="93">
                  <c:v>1772.78</c:v>
                </c:pt>
                <c:pt idx="94">
                  <c:v>1811.89</c:v>
                </c:pt>
                <c:pt idx="95">
                  <c:v>1773.27</c:v>
                </c:pt>
                <c:pt idx="96">
                  <c:v>1831.69</c:v>
                </c:pt>
                <c:pt idx="97">
                  <c:v>1826.74</c:v>
                </c:pt>
                <c:pt idx="98">
                  <c:v>1777.73</c:v>
                </c:pt>
                <c:pt idx="99">
                  <c:v>1763.87</c:v>
                </c:pt>
                <c:pt idx="100">
                  <c:v>1711.89</c:v>
                </c:pt>
                <c:pt idx="101">
                  <c:v>1743.08</c:v>
                </c:pt>
                <c:pt idx="102">
                  <c:v>1662.88</c:v>
                </c:pt>
                <c:pt idx="103">
                  <c:v>1555.45</c:v>
                </c:pt>
                <c:pt idx="104">
                  <c:v>1588.62</c:v>
                </c:pt>
                <c:pt idx="105">
                  <c:v>1632.68</c:v>
                </c:pt>
                <c:pt idx="106">
                  <c:v>1612.88</c:v>
                </c:pt>
                <c:pt idx="107">
                  <c:v>1576.24</c:v>
                </c:pt>
                <c:pt idx="108">
                  <c:v>1563.87</c:v>
                </c:pt>
                <c:pt idx="109">
                  <c:v>1593.08</c:v>
                </c:pt>
                <c:pt idx="110">
                  <c:v>1603.97</c:v>
                </c:pt>
                <c:pt idx="111">
                  <c:v>1595.55</c:v>
                </c:pt>
                <c:pt idx="112">
                  <c:v>1677.23</c:v>
                </c:pt>
                <c:pt idx="113">
                  <c:v>1726.24</c:v>
                </c:pt>
                <c:pt idx="114">
                  <c:v>1722.78</c:v>
                </c:pt>
                <c:pt idx="115">
                  <c:v>1684.66</c:v>
                </c:pt>
                <c:pt idx="116">
                  <c:v>1707.43</c:v>
                </c:pt>
                <c:pt idx="117">
                  <c:v>1665.35</c:v>
                </c:pt>
                <c:pt idx="118">
                  <c:v>1657.43</c:v>
                </c:pt>
                <c:pt idx="119">
                  <c:v>1647.04</c:v>
                </c:pt>
                <c:pt idx="120">
                  <c:v>1611.39</c:v>
                </c:pt>
                <c:pt idx="121">
                  <c:v>1564.36</c:v>
                </c:pt>
                <c:pt idx="122">
                  <c:v>1622.28</c:v>
                </c:pt>
                <c:pt idx="123">
                  <c:v>1531.69</c:v>
                </c:pt>
                <c:pt idx="124">
                  <c:v>1576.74</c:v>
                </c:pt>
                <c:pt idx="125">
                  <c:v>1608.92</c:v>
                </c:pt>
                <c:pt idx="126">
                  <c:v>1636.64</c:v>
                </c:pt>
                <c:pt idx="127">
                  <c:v>1505.45</c:v>
                </c:pt>
                <c:pt idx="128">
                  <c:v>1535.16</c:v>
                </c:pt>
                <c:pt idx="129">
                  <c:v>1576.74</c:v>
                </c:pt>
                <c:pt idx="130">
                  <c:v>1608.42</c:v>
                </c:pt>
                <c:pt idx="131">
                  <c:v>1618.82</c:v>
                </c:pt>
                <c:pt idx="132">
                  <c:v>1589.61</c:v>
                </c:pt>
                <c:pt idx="133">
                  <c:v>1534.66</c:v>
                </c:pt>
                <c:pt idx="134">
                  <c:v>1488.13</c:v>
                </c:pt>
                <c:pt idx="135">
                  <c:v>1468.32</c:v>
                </c:pt>
                <c:pt idx="136">
                  <c:v>1456.94</c:v>
                </c:pt>
                <c:pt idx="137">
                  <c:v>1471.79</c:v>
                </c:pt>
                <c:pt idx="138">
                  <c:v>1421.79</c:v>
                </c:pt>
                <c:pt idx="139">
                  <c:v>1365.85</c:v>
                </c:pt>
                <c:pt idx="140">
                  <c:v>1395.55</c:v>
                </c:pt>
                <c:pt idx="141">
                  <c:v>1430.2</c:v>
                </c:pt>
                <c:pt idx="142">
                  <c:v>1565.85</c:v>
                </c:pt>
                <c:pt idx="143">
                  <c:v>1554.96</c:v>
                </c:pt>
                <c:pt idx="144">
                  <c:v>1515.85</c:v>
                </c:pt>
                <c:pt idx="145">
                  <c:v>1562.38</c:v>
                </c:pt>
                <c:pt idx="146">
                  <c:v>1534.86</c:v>
                </c:pt>
                <c:pt idx="147">
                  <c:v>1449.31</c:v>
                </c:pt>
                <c:pt idx="148">
                  <c:v>1480.6</c:v>
                </c:pt>
                <c:pt idx="149">
                  <c:v>1471.89</c:v>
                </c:pt>
                <c:pt idx="150">
                  <c:v>1500.2</c:v>
                </c:pt>
                <c:pt idx="151">
                  <c:v>1482.38</c:v>
                </c:pt>
                <c:pt idx="152">
                  <c:v>1480.4</c:v>
                </c:pt>
                <c:pt idx="153">
                  <c:v>1461.19</c:v>
                </c:pt>
                <c:pt idx="154">
                  <c:v>1416.84</c:v>
                </c:pt>
                <c:pt idx="155">
                  <c:v>1408.72</c:v>
                </c:pt>
                <c:pt idx="156">
                  <c:v>1393.08</c:v>
                </c:pt>
                <c:pt idx="157">
                  <c:v>1306.1400000000001</c:v>
                </c:pt>
                <c:pt idx="158">
                  <c:v>1332.48</c:v>
                </c:pt>
                <c:pt idx="159">
                  <c:v>1329.91</c:v>
                </c:pt>
                <c:pt idx="160">
                  <c:v>1324.76</c:v>
                </c:pt>
                <c:pt idx="161">
                  <c:v>1342.38</c:v>
                </c:pt>
                <c:pt idx="162">
                  <c:v>1374.46</c:v>
                </c:pt>
                <c:pt idx="163">
                  <c:v>1421.19</c:v>
                </c:pt>
                <c:pt idx="164">
                  <c:v>1427.33</c:v>
                </c:pt>
                <c:pt idx="165">
                  <c:v>1328.32</c:v>
                </c:pt>
                <c:pt idx="166">
                  <c:v>1206.3399999999999</c:v>
                </c:pt>
                <c:pt idx="167">
                  <c:v>1173.8699999999999</c:v>
                </c:pt>
                <c:pt idx="168">
                  <c:v>1150.5</c:v>
                </c:pt>
                <c:pt idx="169">
                  <c:v>1121.5999999999999</c:v>
                </c:pt>
                <c:pt idx="170">
                  <c:v>1143.2</c:v>
                </c:pt>
                <c:pt idx="171">
                  <c:v>1120</c:v>
                </c:pt>
                <c:pt idx="172">
                  <c:v>1172</c:v>
                </c:pt>
                <c:pt idx="173">
                  <c:v>1207</c:v>
                </c:pt>
                <c:pt idx="174">
                  <c:v>1233.5999999999999</c:v>
                </c:pt>
                <c:pt idx="175">
                  <c:v>1209.4000000000001</c:v>
                </c:pt>
                <c:pt idx="176">
                  <c:v>1227.2</c:v>
                </c:pt>
                <c:pt idx="177">
                  <c:v>1243.5999999999999</c:v>
                </c:pt>
                <c:pt idx="178">
                  <c:v>1237.2</c:v>
                </c:pt>
                <c:pt idx="179">
                  <c:v>1232.8</c:v>
                </c:pt>
                <c:pt idx="180">
                  <c:v>1284</c:v>
                </c:pt>
                <c:pt idx="181">
                  <c:v>1293.4000000000001</c:v>
                </c:pt>
                <c:pt idx="182">
                  <c:v>1207</c:v>
                </c:pt>
              </c:numCache>
            </c:numRef>
          </c:xVal>
          <c:yVal>
            <c:numRef>
              <c:f>P2_TaskVII_Replication!$AG$4:$AG$186</c:f>
              <c:numCache>
                <c:formatCode>0.0%</c:formatCode>
                <c:ptCount val="183"/>
                <c:pt idx="0">
                  <c:v>0.61567535512159155</c:v>
                </c:pt>
                <c:pt idx="1">
                  <c:v>0.59981865250227329</c:v>
                </c:pt>
                <c:pt idx="2">
                  <c:v>0.56938249957010023</c:v>
                </c:pt>
                <c:pt idx="3">
                  <c:v>0.57187152974600186</c:v>
                </c:pt>
                <c:pt idx="4">
                  <c:v>0.53827868286977631</c:v>
                </c:pt>
                <c:pt idx="5">
                  <c:v>0.51016562152808387</c:v>
                </c:pt>
                <c:pt idx="6">
                  <c:v>0.49201924735895469</c:v>
                </c:pt>
                <c:pt idx="7">
                  <c:v>0.46386651850595356</c:v>
                </c:pt>
                <c:pt idx="8">
                  <c:v>0.49337609765309121</c:v>
                </c:pt>
                <c:pt idx="9">
                  <c:v>0.49278490815855563</c:v>
                </c:pt>
                <c:pt idx="10">
                  <c:v>0.46702028372135629</c:v>
                </c:pt>
                <c:pt idx="11">
                  <c:v>0.45035737937431936</c:v>
                </c:pt>
                <c:pt idx="12">
                  <c:v>0.42951000489429358</c:v>
                </c:pt>
                <c:pt idx="13">
                  <c:v>0.43988547723370702</c:v>
                </c:pt>
                <c:pt idx="14">
                  <c:v>0.41751214940534159</c:v>
                </c:pt>
                <c:pt idx="15">
                  <c:v>0.40234258676317325</c:v>
                </c:pt>
                <c:pt idx="16">
                  <c:v>0.40216287983711546</c:v>
                </c:pt>
                <c:pt idx="17">
                  <c:v>0.37559684803994919</c:v>
                </c:pt>
                <c:pt idx="18">
                  <c:v>0.36138584741775309</c:v>
                </c:pt>
                <c:pt idx="19">
                  <c:v>0.37836843201530279</c:v>
                </c:pt>
                <c:pt idx="20">
                  <c:v>0.35083728892776861</c:v>
                </c:pt>
                <c:pt idx="21">
                  <c:v>0.3550937186623942</c:v>
                </c:pt>
                <c:pt idx="22">
                  <c:v>0.44821467895539563</c:v>
                </c:pt>
                <c:pt idx="23">
                  <c:v>0.43679900062260774</c:v>
                </c:pt>
                <c:pt idx="24">
                  <c:v>0.41063083285845969</c:v>
                </c:pt>
                <c:pt idx="25">
                  <c:v>0.42341648394549852</c:v>
                </c:pt>
                <c:pt idx="26">
                  <c:v>0.4303554818806466</c:v>
                </c:pt>
                <c:pt idx="27">
                  <c:v>0.41495177736723599</c:v>
                </c:pt>
                <c:pt idx="28">
                  <c:v>0.45333736601365515</c:v>
                </c:pt>
                <c:pt idx="29">
                  <c:v>0.58761902260259924</c:v>
                </c:pt>
                <c:pt idx="30">
                  <c:v>0.56097667416934927</c:v>
                </c:pt>
                <c:pt idx="31">
                  <c:v>0.60322259698199276</c:v>
                </c:pt>
                <c:pt idx="32">
                  <c:v>0.59223861442673564</c:v>
                </c:pt>
                <c:pt idx="33">
                  <c:v>0.60750619113062565</c:v>
                </c:pt>
                <c:pt idx="34">
                  <c:v>0.59772935250359349</c:v>
                </c:pt>
                <c:pt idx="35">
                  <c:v>0.59614207345499259</c:v>
                </c:pt>
                <c:pt idx="36">
                  <c:v>0.6151365105595249</c:v>
                </c:pt>
                <c:pt idx="37">
                  <c:v>0.6039910843620242</c:v>
                </c:pt>
                <c:pt idx="38">
                  <c:v>0.61063596085985106</c:v>
                </c:pt>
                <c:pt idx="39">
                  <c:v>0.62692192961600168</c:v>
                </c:pt>
                <c:pt idx="40">
                  <c:v>0.58185104612610761</c:v>
                </c:pt>
                <c:pt idx="41">
                  <c:v>0.61244029076889162</c:v>
                </c:pt>
                <c:pt idx="42">
                  <c:v>0.62591451104240992</c:v>
                </c:pt>
                <c:pt idx="43">
                  <c:v>0.6210910440509172</c:v>
                </c:pt>
                <c:pt idx="44">
                  <c:v>0.58922202182078909</c:v>
                </c:pt>
                <c:pt idx="45">
                  <c:v>0.55935447938710514</c:v>
                </c:pt>
                <c:pt idx="46">
                  <c:v>0.60474078607514248</c:v>
                </c:pt>
                <c:pt idx="47">
                  <c:v>0.58943828985189972</c:v>
                </c:pt>
                <c:pt idx="48">
                  <c:v>0.57798607295516113</c:v>
                </c:pt>
                <c:pt idx="49">
                  <c:v>0.59204527727305878</c:v>
                </c:pt>
                <c:pt idx="50">
                  <c:v>0.58723859906356646</c:v>
                </c:pt>
                <c:pt idx="51">
                  <c:v>0.58513438449279997</c:v>
                </c:pt>
                <c:pt idx="52">
                  <c:v>0.70614770661003878</c:v>
                </c:pt>
                <c:pt idx="53">
                  <c:v>0.67775360576780552</c:v>
                </c:pt>
                <c:pt idx="54">
                  <c:v>0.7223889476807126</c:v>
                </c:pt>
                <c:pt idx="55">
                  <c:v>0.74936254095607269</c:v>
                </c:pt>
                <c:pt idx="56">
                  <c:v>0.74402827519588377</c:v>
                </c:pt>
                <c:pt idx="57">
                  <c:v>0.7358549744586792</c:v>
                </c:pt>
                <c:pt idx="58">
                  <c:v>0.73273002124656839</c:v>
                </c:pt>
                <c:pt idx="59">
                  <c:v>0.75616055838791774</c:v>
                </c:pt>
                <c:pt idx="60">
                  <c:v>0.78102083625046814</c:v>
                </c:pt>
                <c:pt idx="61">
                  <c:v>0.75678996189972025</c:v>
                </c:pt>
                <c:pt idx="62">
                  <c:v>0.74338897315354024</c:v>
                </c:pt>
                <c:pt idx="63">
                  <c:v>0.73572962984853885</c:v>
                </c:pt>
                <c:pt idx="64">
                  <c:v>0.74906373100776247</c:v>
                </c:pt>
                <c:pt idx="65">
                  <c:v>0.70821565283272603</c:v>
                </c:pt>
                <c:pt idx="66">
                  <c:v>0.67061614105548661</c:v>
                </c:pt>
                <c:pt idx="67">
                  <c:v>0.69219955811370015</c:v>
                </c:pt>
                <c:pt idx="68">
                  <c:v>0.70055495765367803</c:v>
                </c:pt>
                <c:pt idx="69">
                  <c:v>0.6933879432741803</c:v>
                </c:pt>
                <c:pt idx="70">
                  <c:v>0.72560738916528478</c:v>
                </c:pt>
                <c:pt idx="71">
                  <c:v>0.76743908208628653</c:v>
                </c:pt>
                <c:pt idx="72">
                  <c:v>0.75452595592420879</c:v>
                </c:pt>
                <c:pt idx="73">
                  <c:v>0.74201902136004516</c:v>
                </c:pt>
                <c:pt idx="74">
                  <c:v>0.73885767521013912</c:v>
                </c:pt>
                <c:pt idx="75">
                  <c:v>0.75484801161057935</c:v>
                </c:pt>
                <c:pt idx="76">
                  <c:v>0.762713763110903</c:v>
                </c:pt>
                <c:pt idx="77">
                  <c:v>0.78126675220217012</c:v>
                </c:pt>
                <c:pt idx="78">
                  <c:v>0.74779487504181319</c:v>
                </c:pt>
                <c:pt idx="79">
                  <c:v>0.70936171527360692</c:v>
                </c:pt>
                <c:pt idx="80">
                  <c:v>0.60694261563891405</c:v>
                </c:pt>
                <c:pt idx="81">
                  <c:v>0.61343815122653611</c:v>
                </c:pt>
                <c:pt idx="82">
                  <c:v>0.57258874865168541</c:v>
                </c:pt>
                <c:pt idx="83">
                  <c:v>0.55868864054452372</c:v>
                </c:pt>
                <c:pt idx="84">
                  <c:v>0.53433700237269499</c:v>
                </c:pt>
                <c:pt idx="85">
                  <c:v>0.53503186165278471</c:v>
                </c:pt>
                <c:pt idx="86">
                  <c:v>0.52304068658804026</c:v>
                </c:pt>
                <c:pt idx="87">
                  <c:v>0.5197729053938025</c:v>
                </c:pt>
                <c:pt idx="88">
                  <c:v>0.5049566784151287</c:v>
                </c:pt>
                <c:pt idx="89">
                  <c:v>0.50338695624649776</c:v>
                </c:pt>
                <c:pt idx="90">
                  <c:v>0.48388671512820924</c:v>
                </c:pt>
                <c:pt idx="91">
                  <c:v>0.48088129431367449</c:v>
                </c:pt>
                <c:pt idx="92">
                  <c:v>0.5196835563401756</c:v>
                </c:pt>
                <c:pt idx="93">
                  <c:v>0.56751319485078577</c:v>
                </c:pt>
                <c:pt idx="94">
                  <c:v>0.538192774958696</c:v>
                </c:pt>
                <c:pt idx="95">
                  <c:v>0.56238814436839135</c:v>
                </c:pt>
                <c:pt idx="96">
                  <c:v>0.5262189924557592</c:v>
                </c:pt>
                <c:pt idx="97">
                  <c:v>0.52081557754861563</c:v>
                </c:pt>
                <c:pt idx="98">
                  <c:v>0.55702022723818934</c:v>
                </c:pt>
                <c:pt idx="99">
                  <c:v>0.5593638600031775</c:v>
                </c:pt>
                <c:pt idx="100">
                  <c:v>0.60268344470236235</c:v>
                </c:pt>
                <c:pt idx="101">
                  <c:v>0.57448740225852879</c:v>
                </c:pt>
                <c:pt idx="102">
                  <c:v>0.64882248899890294</c:v>
                </c:pt>
                <c:pt idx="103">
                  <c:v>0.7175588568500918</c:v>
                </c:pt>
                <c:pt idx="104">
                  <c:v>0.69852571952646103</c:v>
                </c:pt>
                <c:pt idx="105">
                  <c:v>0.6705611895916409</c:v>
                </c:pt>
                <c:pt idx="106">
                  <c:v>0.68560174906045845</c:v>
                </c:pt>
                <c:pt idx="107">
                  <c:v>0.71285181655924312</c:v>
                </c:pt>
                <c:pt idx="108">
                  <c:v>0.7255967000534006</c:v>
                </c:pt>
                <c:pt idx="109">
                  <c:v>0.70441223258327346</c:v>
                </c:pt>
                <c:pt idx="110">
                  <c:v>0.69673846188108213</c:v>
                </c:pt>
                <c:pt idx="111">
                  <c:v>0.70408830152162416</c:v>
                </c:pt>
                <c:pt idx="112">
                  <c:v>0.64101159405285468</c:v>
                </c:pt>
                <c:pt idx="113">
                  <c:v>0.60640535833273645</c:v>
                </c:pt>
                <c:pt idx="114">
                  <c:v>0.60515062609628789</c:v>
                </c:pt>
                <c:pt idx="115">
                  <c:v>0.63207374012874729</c:v>
                </c:pt>
                <c:pt idx="116">
                  <c:v>0.61136973231693725</c:v>
                </c:pt>
                <c:pt idx="117">
                  <c:v>0.64451990755442679</c:v>
                </c:pt>
                <c:pt idx="118">
                  <c:v>0.64783083381408135</c:v>
                </c:pt>
                <c:pt idx="119">
                  <c:v>0.65308909504213408</c:v>
                </c:pt>
                <c:pt idx="120">
                  <c:v>0.68574795076358619</c:v>
                </c:pt>
                <c:pt idx="121">
                  <c:v>0.73233168633070589</c:v>
                </c:pt>
                <c:pt idx="122">
                  <c:v>0.67860452778062808</c:v>
                </c:pt>
                <c:pt idx="123">
                  <c:v>0.75060014865528013</c:v>
                </c:pt>
                <c:pt idx="124">
                  <c:v>0.71448383691347761</c:v>
                </c:pt>
                <c:pt idx="125">
                  <c:v>0.69033601593822558</c:v>
                </c:pt>
                <c:pt idx="126">
                  <c:v>0.66941603057993515</c:v>
                </c:pt>
                <c:pt idx="127">
                  <c:v>0.73472318324267094</c:v>
                </c:pt>
                <c:pt idx="128">
                  <c:v>0.72139048559182239</c:v>
                </c:pt>
                <c:pt idx="129">
                  <c:v>0.69796087963892461</c:v>
                </c:pt>
                <c:pt idx="130">
                  <c:v>0.68168744132274628</c:v>
                </c:pt>
                <c:pt idx="131">
                  <c:v>0.67792298477667412</c:v>
                </c:pt>
                <c:pt idx="132">
                  <c:v>0.69897346283243122</c:v>
                </c:pt>
                <c:pt idx="133">
                  <c:v>0.7358746975303827</c:v>
                </c:pt>
                <c:pt idx="134">
                  <c:v>0.76882296926099403</c:v>
                </c:pt>
                <c:pt idx="135">
                  <c:v>0.79153925277011328</c:v>
                </c:pt>
                <c:pt idx="136">
                  <c:v>0.80859904069612809</c:v>
                </c:pt>
                <c:pt idx="137">
                  <c:v>0.80314079310269393</c:v>
                </c:pt>
                <c:pt idx="138">
                  <c:v>0.84347053422559259</c:v>
                </c:pt>
                <c:pt idx="139">
                  <c:v>0.88176344626991543</c:v>
                </c:pt>
                <c:pt idx="140">
                  <c:v>0.86394583430197236</c:v>
                </c:pt>
                <c:pt idx="141">
                  <c:v>0.8368065283592887</c:v>
                </c:pt>
                <c:pt idx="142">
                  <c:v>0.69169009877575738</c:v>
                </c:pt>
                <c:pt idx="143">
                  <c:v>0.70286181518037594</c:v>
                </c:pt>
                <c:pt idx="144">
                  <c:v>0.72998865925498513</c:v>
                </c:pt>
                <c:pt idx="145">
                  <c:v>0.70528131077781731</c:v>
                </c:pt>
                <c:pt idx="146">
                  <c:v>0.72618496499629992</c:v>
                </c:pt>
                <c:pt idx="147">
                  <c:v>0.76498617621091269</c:v>
                </c:pt>
                <c:pt idx="148">
                  <c:v>0.7523545428911107</c:v>
                </c:pt>
                <c:pt idx="149">
                  <c:v>0.76686775051491629</c:v>
                </c:pt>
                <c:pt idx="150">
                  <c:v>0.75401526765383597</c:v>
                </c:pt>
                <c:pt idx="151">
                  <c:v>0.77374959788434416</c:v>
                </c:pt>
                <c:pt idx="152">
                  <c:v>0.78381843058133471</c:v>
                </c:pt>
                <c:pt idx="153">
                  <c:v>0.806806839757926</c:v>
                </c:pt>
                <c:pt idx="154">
                  <c:v>0.84448399997475676</c:v>
                </c:pt>
                <c:pt idx="155">
                  <c:v>0.86254287260093465</c:v>
                </c:pt>
                <c:pt idx="156">
                  <c:v>0.88723107595095752</c:v>
                </c:pt>
                <c:pt idx="157">
                  <c:v>0.91311486218685067</c:v>
                </c:pt>
                <c:pt idx="158">
                  <c:v>0.90332780698839343</c:v>
                </c:pt>
                <c:pt idx="159">
                  <c:v>0.92136149668237488</c:v>
                </c:pt>
                <c:pt idx="160">
                  <c:v>0.94190818429044298</c:v>
                </c:pt>
                <c:pt idx="161">
                  <c:v>0.93930460723949738</c:v>
                </c:pt>
                <c:pt idx="162">
                  <c:v>0.91289595878635199</c:v>
                </c:pt>
                <c:pt idx="163">
                  <c:v>0.86220563364736724</c:v>
                </c:pt>
                <c:pt idx="164">
                  <c:v>0.86694678368176536</c:v>
                </c:pt>
                <c:pt idx="165">
                  <c:v>0.89722477476125784</c:v>
                </c:pt>
                <c:pt idx="166">
                  <c:v>0.89280741064478886</c:v>
                </c:pt>
                <c:pt idx="167">
                  <c:v>0.91358902312481061</c:v>
                </c:pt>
                <c:pt idx="168">
                  <c:v>0.928573129513658</c:v>
                </c:pt>
                <c:pt idx="169">
                  <c:v>0.9572984369106341</c:v>
                </c:pt>
                <c:pt idx="170">
                  <c:v>0.96109661609517638</c:v>
                </c:pt>
                <c:pt idx="171">
                  <c:v>0.99130201389740968</c:v>
                </c:pt>
                <c:pt idx="172">
                  <c:v>0.94788946948644204</c:v>
                </c:pt>
                <c:pt idx="173">
                  <c:v>0.93308652947267368</c:v>
                </c:pt>
                <c:pt idx="174">
                  <c:v>0.92843990793461406</c:v>
                </c:pt>
                <c:pt idx="175">
                  <c:v>0.96038414866624344</c:v>
                </c:pt>
                <c:pt idx="176">
                  <c:v>0.96484101858829818</c:v>
                </c:pt>
                <c:pt idx="177">
                  <c:v>0.97287234961263114</c:v>
                </c:pt>
                <c:pt idx="178">
                  <c:v>0.99888364163623944</c:v>
                </c:pt>
                <c:pt idx="179">
                  <c:v>1.0252369086820439</c:v>
                </c:pt>
                <c:pt idx="180">
                  <c:v>0.96591315294885038</c:v>
                </c:pt>
                <c:pt idx="181">
                  <c:v>0.97554258011108075</c:v>
                </c:pt>
                <c:pt idx="182">
                  <c:v>0.97752854403123501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BF-F74B-A182-219CBFEC8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092"/>
        <c:axId val="91605483"/>
      </c:scatterChart>
      <c:valAx>
        <c:axId val="90990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Underlying S (EUR)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1605483"/>
        <c:crosses val="autoZero"/>
        <c:crossBetween val="midCat"/>
      </c:valAx>
      <c:valAx>
        <c:axId val="91605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Equity fraction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0990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2</xdr:row>
      <xdr:rowOff>160920</xdr:rowOff>
    </xdr:from>
    <xdr:to>
      <xdr:col>42</xdr:col>
      <xdr:colOff>256320</xdr:colOff>
      <xdr:row>19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60" customWidth="1"/>
    <col min="4" max="4" width="18" customWidth="1"/>
  </cols>
  <sheetData>
    <row r="2" spans="2:3" ht="18" x14ac:dyDescent="0.2">
      <c r="B2" s="2" t="s">
        <v>0</v>
      </c>
    </row>
    <row r="3" spans="2:3" x14ac:dyDescent="0.2">
      <c r="B3" s="3" t="s">
        <v>1</v>
      </c>
    </row>
    <row r="5" spans="2:3" x14ac:dyDescent="0.2">
      <c r="B5" s="4"/>
      <c r="C5" s="5"/>
    </row>
    <row r="6" spans="2:3" x14ac:dyDescent="0.2">
      <c r="B6" s="4" t="s">
        <v>2</v>
      </c>
      <c r="C6" s="5" t="s">
        <v>3</v>
      </c>
    </row>
    <row r="7" spans="2:3" x14ac:dyDescent="0.2">
      <c r="B7" s="4" t="s">
        <v>4</v>
      </c>
      <c r="C7" s="5" t="s">
        <v>5</v>
      </c>
    </row>
    <row r="8" spans="2:3" x14ac:dyDescent="0.2">
      <c r="B8" s="4" t="s">
        <v>6</v>
      </c>
      <c r="C8" s="5" t="s">
        <v>7</v>
      </c>
    </row>
    <row r="9" spans="2:3" x14ac:dyDescent="0.2">
      <c r="B9" s="4" t="s">
        <v>8</v>
      </c>
      <c r="C9" s="5" t="s">
        <v>9</v>
      </c>
    </row>
    <row r="10" spans="2:3" x14ac:dyDescent="0.2">
      <c r="B10" s="4" t="s">
        <v>10</v>
      </c>
      <c r="C10" s="5" t="s">
        <v>11</v>
      </c>
    </row>
    <row r="11" spans="2:3" x14ac:dyDescent="0.2">
      <c r="B11" s="4" t="s">
        <v>12</v>
      </c>
      <c r="C11" s="5" t="s">
        <v>13</v>
      </c>
    </row>
    <row r="12" spans="2:3" x14ac:dyDescent="0.2">
      <c r="B12" s="4" t="s">
        <v>14</v>
      </c>
      <c r="C12" s="5" t="s">
        <v>15</v>
      </c>
    </row>
    <row r="13" spans="2:3" x14ac:dyDescent="0.2">
      <c r="B13" s="4"/>
      <c r="C13" s="5"/>
    </row>
    <row r="14" spans="2:3" x14ac:dyDescent="0.2">
      <c r="B14" s="4" t="s">
        <v>16</v>
      </c>
      <c r="C14" s="5"/>
    </row>
    <row r="15" spans="2:3" x14ac:dyDescent="0.2">
      <c r="B15" s="4" t="s">
        <v>17</v>
      </c>
      <c r="C15" s="5" t="s">
        <v>18</v>
      </c>
    </row>
    <row r="16" spans="2:3" x14ac:dyDescent="0.2">
      <c r="B16" s="4" t="s">
        <v>19</v>
      </c>
      <c r="C16" s="5" t="s">
        <v>20</v>
      </c>
    </row>
    <row r="17" spans="2:3" x14ac:dyDescent="0.2">
      <c r="B17" s="4" t="s">
        <v>21</v>
      </c>
      <c r="C17" s="5" t="s">
        <v>22</v>
      </c>
    </row>
    <row r="18" spans="2:3" x14ac:dyDescent="0.2">
      <c r="B18" s="4" t="s">
        <v>23</v>
      </c>
      <c r="C18" s="5" t="s">
        <v>24</v>
      </c>
    </row>
    <row r="19" spans="2:3" x14ac:dyDescent="0.2">
      <c r="B19" s="4"/>
      <c r="C19" s="5"/>
    </row>
    <row r="20" spans="2:3" x14ac:dyDescent="0.2">
      <c r="B20" s="4" t="s">
        <v>25</v>
      </c>
      <c r="C20" s="5"/>
    </row>
    <row r="21" spans="2:3" x14ac:dyDescent="0.2">
      <c r="B21" s="4" t="s">
        <v>26</v>
      </c>
      <c r="C21" s="5" t="s">
        <v>27</v>
      </c>
    </row>
    <row r="22" spans="2:3" x14ac:dyDescent="0.2">
      <c r="B22" s="4" t="s">
        <v>28</v>
      </c>
      <c r="C22" s="5" t="s">
        <v>29</v>
      </c>
    </row>
    <row r="23" spans="2:3" x14ac:dyDescent="0.2">
      <c r="B23" s="4" t="s">
        <v>30</v>
      </c>
      <c r="C23" s="5" t="s">
        <v>31</v>
      </c>
    </row>
    <row r="24" spans="2:3" x14ac:dyDescent="0.2">
      <c r="B24" s="4" t="s">
        <v>32</v>
      </c>
      <c r="C24" s="5" t="s">
        <v>33</v>
      </c>
    </row>
    <row r="25" spans="2:3" x14ac:dyDescent="0.2">
      <c r="B25" s="4" t="s">
        <v>34</v>
      </c>
      <c r="C25" s="5" t="s">
        <v>35</v>
      </c>
    </row>
    <row r="26" spans="2:3" x14ac:dyDescent="0.2">
      <c r="B26" s="4" t="s">
        <v>36</v>
      </c>
      <c r="C26" s="5" t="s">
        <v>37</v>
      </c>
    </row>
    <row r="27" spans="2:3" x14ac:dyDescent="0.2">
      <c r="B27" s="4" t="s">
        <v>38</v>
      </c>
      <c r="C27" s="5" t="s">
        <v>39</v>
      </c>
    </row>
    <row r="28" spans="2:3" x14ac:dyDescent="0.2">
      <c r="B28" s="4" t="s">
        <v>40</v>
      </c>
      <c r="C28" s="5" t="s">
        <v>41</v>
      </c>
    </row>
    <row r="29" spans="2:3" x14ac:dyDescent="0.2">
      <c r="B29" s="4" t="s">
        <v>42</v>
      </c>
      <c r="C29" s="5" t="s">
        <v>43</v>
      </c>
    </row>
    <row r="30" spans="2:3" x14ac:dyDescent="0.2">
      <c r="B30" s="4" t="s">
        <v>44</v>
      </c>
      <c r="C30" s="5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zoomScaleNormal="100" workbookViewId="0">
      <selection activeCell="B9" sqref="B9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3" width="14" customWidth="1"/>
    <col min="4" max="4" width="60" customWidth="1"/>
  </cols>
  <sheetData>
    <row r="1" spans="1:4" ht="18" x14ac:dyDescent="0.2">
      <c r="A1" s="2" t="s">
        <v>46</v>
      </c>
    </row>
    <row r="3" spans="1:4" x14ac:dyDescent="0.2">
      <c r="A3" s="6" t="s">
        <v>47</v>
      </c>
      <c r="B3" s="6" t="s">
        <v>48</v>
      </c>
      <c r="C3" s="6" t="s">
        <v>49</v>
      </c>
      <c r="D3" s="6" t="s">
        <v>50</v>
      </c>
    </row>
    <row r="4" spans="1:4" x14ac:dyDescent="0.2">
      <c r="A4" s="4" t="s">
        <v>51</v>
      </c>
      <c r="B4" s="7">
        <v>2000</v>
      </c>
      <c r="C4" s="8" t="s">
        <v>52</v>
      </c>
      <c r="D4" s="9" t="s">
        <v>53</v>
      </c>
    </row>
    <row r="5" spans="1:4" x14ac:dyDescent="0.2">
      <c r="A5" s="4" t="s">
        <v>54</v>
      </c>
      <c r="B5" s="7">
        <v>2000</v>
      </c>
      <c r="C5" s="8" t="s">
        <v>55</v>
      </c>
      <c r="D5" s="9" t="s">
        <v>56</v>
      </c>
    </row>
    <row r="6" spans="1:4" x14ac:dyDescent="0.2">
      <c r="A6" s="4" t="s">
        <v>57</v>
      </c>
      <c r="B6" s="7">
        <v>1050</v>
      </c>
      <c r="C6" s="8" t="s">
        <v>58</v>
      </c>
      <c r="D6" s="9" t="s">
        <v>59</v>
      </c>
    </row>
    <row r="7" spans="1:4" x14ac:dyDescent="0.2">
      <c r="A7" s="4" t="s">
        <v>60</v>
      </c>
      <c r="B7" s="10">
        <v>1</v>
      </c>
      <c r="C7" s="8" t="s">
        <v>61</v>
      </c>
      <c r="D7" s="9" t="s">
        <v>62</v>
      </c>
    </row>
    <row r="8" spans="1:4" x14ac:dyDescent="0.2">
      <c r="A8" s="4" t="s">
        <v>63</v>
      </c>
      <c r="B8" s="11">
        <v>45904</v>
      </c>
      <c r="C8" s="8" t="s">
        <v>64</v>
      </c>
      <c r="D8" s="9" t="s">
        <v>65</v>
      </c>
    </row>
    <row r="9" spans="1:4" x14ac:dyDescent="0.2">
      <c r="A9" s="4" t="s">
        <v>66</v>
      </c>
      <c r="B9" s="11">
        <v>46556</v>
      </c>
      <c r="C9" s="8" t="s">
        <v>67</v>
      </c>
      <c r="D9" s="9" t="s">
        <v>68</v>
      </c>
    </row>
    <row r="10" spans="1:4" x14ac:dyDescent="0.2">
      <c r="A10" s="4" t="s">
        <v>69</v>
      </c>
      <c r="B10" s="11">
        <v>46563</v>
      </c>
      <c r="C10" s="8" t="s">
        <v>70</v>
      </c>
      <c r="D10" s="9" t="s">
        <v>71</v>
      </c>
    </row>
    <row r="11" spans="1:4" x14ac:dyDescent="0.2">
      <c r="A11" s="4" t="s">
        <v>72</v>
      </c>
      <c r="B11" s="7">
        <v>7.2</v>
      </c>
      <c r="C11" s="8" t="s">
        <v>73</v>
      </c>
      <c r="D11" s="9" t="s">
        <v>74</v>
      </c>
    </row>
    <row r="12" spans="1:4" x14ac:dyDescent="0.2">
      <c r="A12" s="4" t="s">
        <v>75</v>
      </c>
      <c r="B12" s="12">
        <f>Data_Stock!B186</f>
        <v>1207</v>
      </c>
      <c r="C12" s="8" t="s">
        <v>76</v>
      </c>
      <c r="D12" s="9" t="s">
        <v>77</v>
      </c>
    </row>
    <row r="13" spans="1:4" x14ac:dyDescent="0.2">
      <c r="A13" s="4" t="s">
        <v>78</v>
      </c>
      <c r="B13" s="13">
        <f>ROUND(AnnualDiv/RefSpot,4)</f>
        <v>6.0000000000000001E-3</v>
      </c>
      <c r="C13" s="8" t="s">
        <v>79</v>
      </c>
      <c r="D13" s="9" t="s">
        <v>80</v>
      </c>
    </row>
    <row r="14" spans="1:4" x14ac:dyDescent="0.2">
      <c r="A14" s="4" t="s">
        <v>81</v>
      </c>
      <c r="B14" s="10">
        <v>0.94</v>
      </c>
      <c r="C14" s="8" t="s">
        <v>82</v>
      </c>
      <c r="D14" s="9" t="s">
        <v>83</v>
      </c>
    </row>
    <row r="15" spans="1:4" x14ac:dyDescent="0.2">
      <c r="A15" s="4" t="s">
        <v>84</v>
      </c>
      <c r="B15" s="14">
        <v>0.01</v>
      </c>
      <c r="C15" s="8" t="s">
        <v>85</v>
      </c>
      <c r="D15" s="9" t="s">
        <v>86</v>
      </c>
    </row>
    <row r="16" spans="1:4" x14ac:dyDescent="0.2">
      <c r="A16" s="4" t="s">
        <v>87</v>
      </c>
      <c r="B16" s="14">
        <v>0.02</v>
      </c>
      <c r="C16" s="8" t="s">
        <v>88</v>
      </c>
      <c r="D16" s="9" t="s">
        <v>89</v>
      </c>
    </row>
    <row r="17" spans="1:4" x14ac:dyDescent="0.2">
      <c r="A17" s="4" t="s">
        <v>90</v>
      </c>
      <c r="B17" s="15">
        <f>1/252</f>
        <v>3.968253968253968E-3</v>
      </c>
      <c r="C17" s="8" t="s">
        <v>91</v>
      </c>
      <c r="D17" s="9" t="s">
        <v>92</v>
      </c>
    </row>
    <row r="18" spans="1:4" x14ac:dyDescent="0.2">
      <c r="A18" s="4" t="s">
        <v>93</v>
      </c>
      <c r="B18" s="16">
        <v>1E-4</v>
      </c>
      <c r="C18" s="8" t="s">
        <v>94</v>
      </c>
      <c r="D18" s="9" t="s">
        <v>95</v>
      </c>
    </row>
    <row r="20" spans="1:4" x14ac:dyDescent="0.2">
      <c r="A20" s="4" t="s">
        <v>96</v>
      </c>
    </row>
    <row r="21" spans="1:4" x14ac:dyDescent="0.2">
      <c r="A21" s="4" t="s">
        <v>97</v>
      </c>
      <c r="B21" s="12">
        <f>RefSpot</f>
        <v>1207</v>
      </c>
      <c r="C21" s="8" t="s">
        <v>98</v>
      </c>
      <c r="D21" s="9" t="s">
        <v>99</v>
      </c>
    </row>
    <row r="22" spans="1:4" x14ac:dyDescent="0.2">
      <c r="A22" s="4" t="s">
        <v>100</v>
      </c>
      <c r="B22" s="12">
        <f>S0_d</f>
        <v>1207</v>
      </c>
      <c r="C22" s="8" t="s">
        <v>101</v>
      </c>
      <c r="D22" s="9" t="s">
        <v>102</v>
      </c>
    </row>
    <row r="23" spans="1:4" x14ac:dyDescent="0.2">
      <c r="A23" s="4" t="s">
        <v>103</v>
      </c>
      <c r="B23" s="12">
        <f>1.3*S0_d</f>
        <v>1569.1000000000001</v>
      </c>
      <c r="C23" s="8" t="s">
        <v>104</v>
      </c>
      <c r="D23" s="9" t="s">
        <v>105</v>
      </c>
    </row>
    <row r="24" spans="1:4" x14ac:dyDescent="0.2">
      <c r="A24" s="4" t="s">
        <v>106</v>
      </c>
      <c r="B24" s="17">
        <v>3</v>
      </c>
      <c r="C24" s="8" t="s">
        <v>107</v>
      </c>
      <c r="D24" s="9" t="s">
        <v>108</v>
      </c>
    </row>
    <row r="25" spans="1:4" x14ac:dyDescent="0.2">
      <c r="A25" s="4" t="s">
        <v>109</v>
      </c>
      <c r="B25" s="18">
        <f>Data_Stock!C186</f>
        <v>0.54200000000000004</v>
      </c>
      <c r="C25" s="8" t="s">
        <v>110</v>
      </c>
      <c r="D25" s="9" t="s">
        <v>111</v>
      </c>
    </row>
    <row r="26" spans="1:4" x14ac:dyDescent="0.2">
      <c r="A26" s="4" t="s">
        <v>112</v>
      </c>
      <c r="B26" s="19">
        <v>1.330382</v>
      </c>
      <c r="C26" s="8" t="s">
        <v>113</v>
      </c>
      <c r="D26" s="9" t="s">
        <v>114</v>
      </c>
    </row>
    <row r="27" spans="1:4" x14ac:dyDescent="0.2">
      <c r="A27" s="4" t="s">
        <v>115</v>
      </c>
      <c r="B27" s="19">
        <v>0.70005200000000001</v>
      </c>
      <c r="C27" s="8" t="s">
        <v>116</v>
      </c>
      <c r="D27" s="9" t="s">
        <v>114</v>
      </c>
    </row>
    <row r="28" spans="1:4" x14ac:dyDescent="0.2">
      <c r="A28" s="4" t="s">
        <v>117</v>
      </c>
      <c r="B28" s="19">
        <v>1.8167549999999999</v>
      </c>
      <c r="C28" s="8" t="s">
        <v>118</v>
      </c>
      <c r="D28" s="9" t="s">
        <v>114</v>
      </c>
    </row>
    <row r="29" spans="1:4" x14ac:dyDescent="0.2">
      <c r="A29" s="4" t="s">
        <v>119</v>
      </c>
      <c r="B29" s="19">
        <v>7.1301839999999999</v>
      </c>
      <c r="C29" s="8" t="s">
        <v>120</v>
      </c>
      <c r="D29" s="9" t="s">
        <v>114</v>
      </c>
    </row>
    <row r="30" spans="1:4" x14ac:dyDescent="0.2">
      <c r="A30" s="4" t="s">
        <v>121</v>
      </c>
      <c r="B30" s="19">
        <v>0.96676300000000004</v>
      </c>
      <c r="C30" s="8" t="s">
        <v>122</v>
      </c>
      <c r="D30" s="9" t="s">
        <v>114</v>
      </c>
    </row>
    <row r="31" spans="1:4" x14ac:dyDescent="0.2">
      <c r="A31" s="4" t="s">
        <v>123</v>
      </c>
      <c r="B31" s="19">
        <v>15.839369</v>
      </c>
      <c r="C31" s="8" t="s">
        <v>124</v>
      </c>
      <c r="D31" s="9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6"/>
  <sheetViews>
    <sheetView showGridLines="0" zoomScaleNormal="100" workbookViewId="0"/>
  </sheetViews>
  <sheetFormatPr baseColWidth="10" defaultColWidth="8.6640625" defaultRowHeight="15" x14ac:dyDescent="0.2"/>
  <cols>
    <col min="1" max="1" width="12" customWidth="1"/>
    <col min="2" max="2" width="14" customWidth="1"/>
    <col min="3" max="3" width="12" customWidth="1"/>
    <col min="4" max="4" width="15" customWidth="1"/>
  </cols>
  <sheetData>
    <row r="1" spans="1:4" ht="18" x14ac:dyDescent="0.2">
      <c r="A1" s="2" t="s">
        <v>125</v>
      </c>
    </row>
    <row r="2" spans="1:4" x14ac:dyDescent="0.2">
      <c r="A2" s="20" t="s">
        <v>126</v>
      </c>
    </row>
    <row r="3" spans="1:4" x14ac:dyDescent="0.2">
      <c r="A3" s="6" t="s">
        <v>127</v>
      </c>
      <c r="B3" s="6" t="s">
        <v>128</v>
      </c>
      <c r="C3" s="6" t="s">
        <v>129</v>
      </c>
      <c r="D3" s="6" t="s">
        <v>130</v>
      </c>
    </row>
    <row r="4" spans="1:4" x14ac:dyDescent="0.2">
      <c r="A4" s="21">
        <v>45904</v>
      </c>
      <c r="B4" s="22">
        <v>1707.93</v>
      </c>
      <c r="C4" s="23">
        <v>0.39</v>
      </c>
      <c r="D4" s="22">
        <v>1558.89</v>
      </c>
    </row>
    <row r="5" spans="1:4" x14ac:dyDescent="0.2">
      <c r="A5" s="21">
        <v>45905</v>
      </c>
      <c r="B5" s="22">
        <v>1727.24</v>
      </c>
      <c r="C5" s="23">
        <v>0.38</v>
      </c>
      <c r="D5" s="22">
        <v>1571.16</v>
      </c>
    </row>
    <row r="6" spans="1:4" x14ac:dyDescent="0.2">
      <c r="A6" s="21">
        <v>45908</v>
      </c>
      <c r="B6" s="22">
        <v>1773.27</v>
      </c>
      <c r="C6" s="23">
        <v>0.38300000000000001</v>
      </c>
      <c r="D6" s="22">
        <v>1601.18</v>
      </c>
    </row>
    <row r="7" spans="1:4" x14ac:dyDescent="0.2">
      <c r="A7" s="21">
        <v>45909</v>
      </c>
      <c r="B7" s="22">
        <v>1761.39</v>
      </c>
      <c r="C7" s="23">
        <v>0.372</v>
      </c>
      <c r="D7" s="22">
        <v>1607.28</v>
      </c>
    </row>
    <row r="8" spans="1:4" x14ac:dyDescent="0.2">
      <c r="A8" s="21">
        <v>45910</v>
      </c>
      <c r="B8" s="22">
        <v>1819.31</v>
      </c>
      <c r="C8" s="23">
        <v>0.38200000000000001</v>
      </c>
      <c r="D8" s="22">
        <v>1628.9</v>
      </c>
    </row>
    <row r="9" spans="1:4" x14ac:dyDescent="0.2">
      <c r="A9" s="21">
        <v>45911</v>
      </c>
      <c r="B9" s="22">
        <v>1861.89</v>
      </c>
      <c r="C9" s="23">
        <v>0.38100000000000001</v>
      </c>
      <c r="D9" s="22">
        <v>1636.5</v>
      </c>
    </row>
    <row r="10" spans="1:4" x14ac:dyDescent="0.2">
      <c r="A10" s="21">
        <v>45912</v>
      </c>
      <c r="B10" s="22">
        <v>1877.73</v>
      </c>
      <c r="C10" s="23">
        <v>0.371</v>
      </c>
      <c r="D10" s="22">
        <v>1666.15</v>
      </c>
    </row>
    <row r="11" spans="1:4" x14ac:dyDescent="0.2">
      <c r="A11" s="21">
        <v>45915</v>
      </c>
      <c r="B11" s="22">
        <v>1930.7</v>
      </c>
      <c r="C11" s="23">
        <v>0.376</v>
      </c>
      <c r="D11" s="22">
        <v>1688.12</v>
      </c>
    </row>
    <row r="12" spans="1:4" x14ac:dyDescent="0.2">
      <c r="A12" s="21">
        <v>45916</v>
      </c>
      <c r="B12" s="22">
        <v>1882.19</v>
      </c>
      <c r="C12" s="23">
        <v>0.377</v>
      </c>
      <c r="D12" s="22">
        <v>1663.42</v>
      </c>
    </row>
    <row r="13" spans="1:4" x14ac:dyDescent="0.2">
      <c r="A13" s="21">
        <v>45917</v>
      </c>
      <c r="B13" s="22">
        <v>1869.81</v>
      </c>
      <c r="C13" s="23">
        <v>0.36699999999999999</v>
      </c>
      <c r="D13" s="22">
        <v>1669.48</v>
      </c>
    </row>
    <row r="14" spans="1:4" x14ac:dyDescent="0.2">
      <c r="A14" s="21">
        <v>45918</v>
      </c>
      <c r="B14" s="22">
        <v>1900.5</v>
      </c>
      <c r="C14" s="23">
        <v>0.36099999999999999</v>
      </c>
      <c r="D14" s="22">
        <v>1694.37</v>
      </c>
    </row>
    <row r="15" spans="1:4" x14ac:dyDescent="0.2">
      <c r="A15" s="21">
        <v>45919</v>
      </c>
      <c r="B15" s="22">
        <v>1908.92</v>
      </c>
      <c r="C15" s="23">
        <v>0.35099999999999998</v>
      </c>
      <c r="D15" s="22">
        <v>1721</v>
      </c>
    </row>
    <row r="16" spans="1:4" x14ac:dyDescent="0.2">
      <c r="A16" s="21">
        <v>45922</v>
      </c>
      <c r="B16" s="22">
        <v>1920.8</v>
      </c>
      <c r="C16" s="23">
        <v>0.34100000000000003</v>
      </c>
      <c r="D16" s="22">
        <v>1744.39</v>
      </c>
    </row>
    <row r="17" spans="1:4" x14ac:dyDescent="0.2">
      <c r="A17" s="21">
        <v>45923</v>
      </c>
      <c r="B17" s="22">
        <v>1893.08</v>
      </c>
      <c r="C17" s="23">
        <v>0.33500000000000002</v>
      </c>
      <c r="D17" s="22">
        <v>1729.44</v>
      </c>
    </row>
    <row r="18" spans="1:4" x14ac:dyDescent="0.2">
      <c r="A18" s="21">
        <v>45924</v>
      </c>
      <c r="B18" s="22">
        <v>1958.92</v>
      </c>
      <c r="C18" s="23">
        <v>0.35099999999999998</v>
      </c>
      <c r="D18" s="22">
        <v>1742.77</v>
      </c>
    </row>
    <row r="19" spans="1:4" x14ac:dyDescent="0.2">
      <c r="A19" s="21">
        <v>45925</v>
      </c>
      <c r="B19" s="22">
        <v>1958.92</v>
      </c>
      <c r="C19" s="23">
        <v>0.34</v>
      </c>
      <c r="D19" s="22">
        <v>1748.73</v>
      </c>
    </row>
    <row r="20" spans="1:4" x14ac:dyDescent="0.2">
      <c r="A20" s="21">
        <v>45926</v>
      </c>
      <c r="B20" s="22">
        <v>1941.1</v>
      </c>
      <c r="C20" s="23">
        <v>0.33200000000000002</v>
      </c>
      <c r="D20" s="22">
        <v>1752.16</v>
      </c>
    </row>
    <row r="21" spans="1:4" x14ac:dyDescent="0.2">
      <c r="A21" s="21">
        <v>45929</v>
      </c>
      <c r="B21" s="22">
        <v>1968.82</v>
      </c>
      <c r="C21" s="23">
        <v>0.32700000000000001</v>
      </c>
      <c r="D21" s="22">
        <v>1774.76</v>
      </c>
    </row>
    <row r="22" spans="1:4" x14ac:dyDescent="0.2">
      <c r="A22" s="21">
        <v>45930</v>
      </c>
      <c r="B22" s="22">
        <v>1964.86</v>
      </c>
      <c r="C22" s="23">
        <v>0.317</v>
      </c>
      <c r="D22" s="22">
        <v>1792.79</v>
      </c>
    </row>
    <row r="23" spans="1:4" x14ac:dyDescent="0.2">
      <c r="A23" s="21">
        <v>45931</v>
      </c>
      <c r="B23" s="22">
        <v>1931.69</v>
      </c>
      <c r="C23" s="23">
        <v>0.314</v>
      </c>
      <c r="D23" s="22">
        <v>1778.72</v>
      </c>
    </row>
    <row r="24" spans="1:4" x14ac:dyDescent="0.2">
      <c r="A24" s="21">
        <v>45932</v>
      </c>
      <c r="B24" s="22">
        <v>1966.35</v>
      </c>
      <c r="C24" s="23">
        <v>0.312</v>
      </c>
      <c r="D24" s="22">
        <v>1795.39</v>
      </c>
    </row>
    <row r="25" spans="1:4" x14ac:dyDescent="0.2">
      <c r="A25" s="21">
        <v>45933</v>
      </c>
      <c r="B25" s="22">
        <v>1943.08</v>
      </c>
      <c r="C25" s="23">
        <v>0.30599999999999999</v>
      </c>
      <c r="D25" s="22">
        <v>1796.62</v>
      </c>
    </row>
    <row r="26" spans="1:4" x14ac:dyDescent="0.2">
      <c r="A26" s="21">
        <v>45936</v>
      </c>
      <c r="B26" s="22">
        <v>1870.31</v>
      </c>
      <c r="C26" s="23">
        <v>0.33200000000000002</v>
      </c>
      <c r="D26" s="22">
        <v>1731.96</v>
      </c>
    </row>
    <row r="27" spans="1:4" x14ac:dyDescent="0.2">
      <c r="A27" s="21">
        <v>45937</v>
      </c>
      <c r="B27" s="22">
        <v>1865.85</v>
      </c>
      <c r="C27" s="23">
        <v>0.32200000000000001</v>
      </c>
      <c r="D27" s="22">
        <v>1752.76</v>
      </c>
    </row>
    <row r="28" spans="1:4" x14ac:dyDescent="0.2">
      <c r="A28" s="21">
        <v>45938</v>
      </c>
      <c r="B28" s="22">
        <v>1914.36</v>
      </c>
      <c r="C28" s="23">
        <v>0.32800000000000001</v>
      </c>
      <c r="D28" s="22">
        <v>1755.12</v>
      </c>
    </row>
    <row r="29" spans="1:4" x14ac:dyDescent="0.2">
      <c r="A29" s="21">
        <v>45939</v>
      </c>
      <c r="B29" s="22">
        <v>1885.16</v>
      </c>
      <c r="C29" s="23">
        <v>0.32300000000000001</v>
      </c>
      <c r="D29" s="22">
        <v>1754.68</v>
      </c>
    </row>
    <row r="30" spans="1:4" x14ac:dyDescent="0.2">
      <c r="A30" s="21">
        <v>45940</v>
      </c>
      <c r="B30" s="22">
        <v>1863.37</v>
      </c>
      <c r="C30" s="23">
        <v>0.317</v>
      </c>
      <c r="D30" s="22">
        <v>1756.54</v>
      </c>
    </row>
    <row r="31" spans="1:4" x14ac:dyDescent="0.2">
      <c r="A31" s="21">
        <v>45943</v>
      </c>
      <c r="B31" s="22">
        <v>1860.9</v>
      </c>
      <c r="C31" s="23">
        <v>0.307</v>
      </c>
      <c r="D31" s="22">
        <v>1779.27</v>
      </c>
    </row>
    <row r="32" spans="1:4" x14ac:dyDescent="0.2">
      <c r="A32" s="21">
        <v>45944</v>
      </c>
      <c r="B32" s="22">
        <v>1820.3</v>
      </c>
      <c r="C32" s="23">
        <v>0.31</v>
      </c>
      <c r="D32" s="22">
        <v>1757.41</v>
      </c>
    </row>
    <row r="33" spans="1:4" x14ac:dyDescent="0.2">
      <c r="A33" s="21">
        <v>45945</v>
      </c>
      <c r="B33" s="22">
        <v>1727.73</v>
      </c>
      <c r="C33" s="23">
        <v>0.36299999999999999</v>
      </c>
      <c r="D33" s="22">
        <v>1636.81</v>
      </c>
    </row>
    <row r="34" spans="1:4" x14ac:dyDescent="0.2">
      <c r="A34" s="21">
        <v>45946</v>
      </c>
      <c r="B34" s="22">
        <v>1756.94</v>
      </c>
      <c r="C34" s="23">
        <v>0.35799999999999998</v>
      </c>
      <c r="D34" s="22">
        <v>1645.79</v>
      </c>
    </row>
    <row r="35" spans="1:4" x14ac:dyDescent="0.2">
      <c r="A35" s="21">
        <v>45950</v>
      </c>
      <c r="B35" s="22">
        <v>1742.09</v>
      </c>
      <c r="C35" s="23">
        <v>0.47299999999999998</v>
      </c>
      <c r="D35" s="22">
        <v>1474.64</v>
      </c>
    </row>
    <row r="36" spans="1:4" x14ac:dyDescent="0.2">
      <c r="A36" s="21">
        <v>45951</v>
      </c>
      <c r="B36" s="22">
        <v>1762.88</v>
      </c>
      <c r="C36" s="23">
        <v>0.46100000000000002</v>
      </c>
      <c r="D36" s="22">
        <v>1510.87</v>
      </c>
    </row>
    <row r="37" spans="1:4" x14ac:dyDescent="0.2">
      <c r="A37" s="21">
        <v>45952</v>
      </c>
      <c r="B37" s="22">
        <v>1733.18</v>
      </c>
      <c r="C37" s="23">
        <v>0.45200000000000001</v>
      </c>
      <c r="D37" s="22">
        <v>1511.49</v>
      </c>
    </row>
    <row r="38" spans="1:4" x14ac:dyDescent="0.2">
      <c r="A38" s="21">
        <v>45953</v>
      </c>
      <c r="B38" s="22">
        <v>1748.52</v>
      </c>
      <c r="C38" s="23">
        <v>0.44</v>
      </c>
      <c r="D38" s="22">
        <v>1525.17</v>
      </c>
    </row>
    <row r="39" spans="1:4" x14ac:dyDescent="0.2">
      <c r="A39" s="21">
        <v>45954</v>
      </c>
      <c r="B39" s="22">
        <v>1746.54</v>
      </c>
      <c r="C39" s="23">
        <v>0.42599999999999999</v>
      </c>
      <c r="D39" s="22">
        <v>1553.92</v>
      </c>
    </row>
    <row r="40" spans="1:4" x14ac:dyDescent="0.2">
      <c r="A40" s="21">
        <v>45957</v>
      </c>
      <c r="B40" s="22">
        <v>1714.36</v>
      </c>
      <c r="C40" s="23">
        <v>0.42</v>
      </c>
      <c r="D40" s="22">
        <v>1533.8</v>
      </c>
    </row>
    <row r="41" spans="1:4" x14ac:dyDescent="0.2">
      <c r="A41" s="21">
        <v>45958</v>
      </c>
      <c r="B41" s="22">
        <v>1727.73</v>
      </c>
      <c r="C41" s="23">
        <v>0.40799999999999997</v>
      </c>
      <c r="D41" s="22">
        <v>1565.23</v>
      </c>
    </row>
    <row r="42" spans="1:4" x14ac:dyDescent="0.2">
      <c r="A42" s="21">
        <v>45959</v>
      </c>
      <c r="B42" s="22">
        <v>1713.87</v>
      </c>
      <c r="C42" s="23">
        <v>0.39700000000000002</v>
      </c>
      <c r="D42" s="22">
        <v>1571.07</v>
      </c>
    </row>
    <row r="43" spans="1:4" x14ac:dyDescent="0.2">
      <c r="A43" s="21">
        <v>45960</v>
      </c>
      <c r="B43" s="22">
        <v>1688.13</v>
      </c>
      <c r="C43" s="23">
        <v>0.38900000000000001</v>
      </c>
      <c r="D43" s="22">
        <v>1571.17</v>
      </c>
    </row>
    <row r="44" spans="1:4" x14ac:dyDescent="0.2">
      <c r="A44" s="21">
        <v>45964</v>
      </c>
      <c r="B44" s="22">
        <v>1755.95</v>
      </c>
      <c r="C44" s="23">
        <v>0.4</v>
      </c>
      <c r="D44" s="22">
        <v>1600.83</v>
      </c>
    </row>
    <row r="45" spans="1:4" x14ac:dyDescent="0.2">
      <c r="A45" s="21">
        <v>45965</v>
      </c>
      <c r="B45" s="22">
        <v>1711.89</v>
      </c>
      <c r="C45" s="23">
        <v>0.4</v>
      </c>
      <c r="D45" s="22">
        <v>1569.94</v>
      </c>
    </row>
    <row r="46" spans="1:4" x14ac:dyDescent="0.2">
      <c r="A46" s="21">
        <v>45966</v>
      </c>
      <c r="B46" s="22">
        <v>1690.11</v>
      </c>
      <c r="C46" s="23">
        <v>0.39100000000000001</v>
      </c>
      <c r="D46" s="22">
        <v>1572.21</v>
      </c>
    </row>
    <row r="47" spans="1:4" x14ac:dyDescent="0.2">
      <c r="A47" s="21">
        <v>45967</v>
      </c>
      <c r="B47" s="22">
        <v>1691.1</v>
      </c>
      <c r="C47" s="23">
        <v>0.379</v>
      </c>
      <c r="D47" s="22">
        <v>1581.58</v>
      </c>
    </row>
    <row r="48" spans="1:4" x14ac:dyDescent="0.2">
      <c r="A48" s="21">
        <v>45968</v>
      </c>
      <c r="B48" s="22">
        <v>1731.69</v>
      </c>
      <c r="C48" s="23">
        <v>0.379</v>
      </c>
      <c r="D48" s="22">
        <v>1612.26</v>
      </c>
    </row>
    <row r="49" spans="1:4" x14ac:dyDescent="0.2">
      <c r="A49" s="21">
        <v>45971</v>
      </c>
      <c r="B49" s="22">
        <v>1769.31</v>
      </c>
      <c r="C49" s="23">
        <v>0.377</v>
      </c>
      <c r="D49" s="22">
        <v>1640.44</v>
      </c>
    </row>
    <row r="50" spans="1:4" x14ac:dyDescent="0.2">
      <c r="A50" s="21">
        <v>45972</v>
      </c>
      <c r="B50" s="22">
        <v>1714.36</v>
      </c>
      <c r="C50" s="23">
        <v>0.38500000000000001</v>
      </c>
      <c r="D50" s="22">
        <v>1605.36</v>
      </c>
    </row>
    <row r="51" spans="1:4" x14ac:dyDescent="0.2">
      <c r="A51" s="21">
        <v>45973</v>
      </c>
      <c r="B51" s="22">
        <v>1727.73</v>
      </c>
      <c r="C51" s="23">
        <v>0.375</v>
      </c>
      <c r="D51" s="22">
        <v>1615.82</v>
      </c>
    </row>
    <row r="52" spans="1:4" x14ac:dyDescent="0.2">
      <c r="A52" s="21">
        <v>45974</v>
      </c>
      <c r="B52" s="22">
        <v>1733.18</v>
      </c>
      <c r="C52" s="23">
        <v>0.36399999999999999</v>
      </c>
      <c r="D52" s="22">
        <v>1643.78</v>
      </c>
    </row>
    <row r="53" spans="1:4" x14ac:dyDescent="0.2">
      <c r="A53" s="21">
        <v>45975</v>
      </c>
      <c r="B53" s="22">
        <v>1709.91</v>
      </c>
      <c r="C53" s="23">
        <v>0.35599999999999998</v>
      </c>
      <c r="D53" s="22">
        <v>1644.96</v>
      </c>
    </row>
    <row r="54" spans="1:4" x14ac:dyDescent="0.2">
      <c r="A54" s="21">
        <v>45978</v>
      </c>
      <c r="B54" s="22">
        <v>1705.95</v>
      </c>
      <c r="C54" s="23">
        <v>0.34599999999999997</v>
      </c>
      <c r="D54" s="22">
        <v>1652.25</v>
      </c>
    </row>
    <row r="55" spans="1:4" x14ac:dyDescent="0.2">
      <c r="A55" s="21">
        <v>45979</v>
      </c>
      <c r="B55" s="22">
        <v>1699.02</v>
      </c>
      <c r="C55" s="23">
        <v>0.33600000000000002</v>
      </c>
      <c r="D55" s="22">
        <v>1679.75</v>
      </c>
    </row>
    <row r="56" spans="1:4" x14ac:dyDescent="0.2">
      <c r="A56" s="21">
        <v>45980</v>
      </c>
      <c r="B56" s="22">
        <v>1580.2</v>
      </c>
      <c r="C56" s="23">
        <v>0.43</v>
      </c>
      <c r="D56" s="22">
        <v>1455.2</v>
      </c>
    </row>
    <row r="57" spans="1:4" x14ac:dyDescent="0.2">
      <c r="A57" s="21">
        <v>45981</v>
      </c>
      <c r="B57" s="22">
        <v>1620.8</v>
      </c>
      <c r="C57" s="23">
        <v>0.42899999999999999</v>
      </c>
      <c r="D57" s="22">
        <v>1487.97</v>
      </c>
    </row>
    <row r="58" spans="1:4" x14ac:dyDescent="0.2">
      <c r="A58" s="21">
        <v>45982</v>
      </c>
      <c r="B58" s="22">
        <v>1504.46</v>
      </c>
      <c r="C58" s="23">
        <v>0.50700000000000001</v>
      </c>
      <c r="D58" s="22">
        <v>1330.98</v>
      </c>
    </row>
    <row r="59" spans="1:4" x14ac:dyDescent="0.2">
      <c r="A59" s="21">
        <v>45985</v>
      </c>
      <c r="B59" s="22">
        <v>1428.72</v>
      </c>
      <c r="C59" s="23">
        <v>0.53100000000000003</v>
      </c>
      <c r="D59" s="22">
        <v>1248.6300000000001</v>
      </c>
    </row>
    <row r="60" spans="1:4" x14ac:dyDescent="0.2">
      <c r="A60" s="21">
        <v>45986</v>
      </c>
      <c r="B60" s="22">
        <v>1453.47</v>
      </c>
      <c r="C60" s="23">
        <v>0.51900000000000002</v>
      </c>
      <c r="D60" s="22">
        <v>1284.21</v>
      </c>
    </row>
    <row r="61" spans="1:4" x14ac:dyDescent="0.2">
      <c r="A61" s="21">
        <v>45987</v>
      </c>
      <c r="B61" s="22">
        <v>1480.7</v>
      </c>
      <c r="C61" s="23">
        <v>0.50800000000000001</v>
      </c>
      <c r="D61" s="22">
        <v>1303.25</v>
      </c>
    </row>
    <row r="62" spans="1:4" x14ac:dyDescent="0.2">
      <c r="A62" s="21">
        <v>45988</v>
      </c>
      <c r="B62" s="22">
        <v>1499.02</v>
      </c>
      <c r="C62" s="23">
        <v>0.495</v>
      </c>
      <c r="D62" s="22">
        <v>1340.13</v>
      </c>
    </row>
    <row r="63" spans="1:4" x14ac:dyDescent="0.2">
      <c r="A63" s="21">
        <v>45989</v>
      </c>
      <c r="B63" s="22">
        <v>1465.85</v>
      </c>
      <c r="C63" s="23">
        <v>0.48799999999999999</v>
      </c>
      <c r="D63" s="22">
        <v>1313.78</v>
      </c>
    </row>
    <row r="64" spans="1:4" x14ac:dyDescent="0.2">
      <c r="A64" s="21">
        <v>45992</v>
      </c>
      <c r="B64" s="22">
        <v>1433.67</v>
      </c>
      <c r="C64" s="23">
        <v>0.48099999999999998</v>
      </c>
      <c r="D64" s="22">
        <v>1307.45</v>
      </c>
    </row>
    <row r="65" spans="1:4" x14ac:dyDescent="0.2">
      <c r="A65" s="21">
        <v>45993</v>
      </c>
      <c r="B65" s="22">
        <v>1475.25</v>
      </c>
      <c r="C65" s="23">
        <v>0.47899999999999998</v>
      </c>
      <c r="D65" s="22">
        <v>1345.44</v>
      </c>
    </row>
    <row r="66" spans="1:4" x14ac:dyDescent="0.2">
      <c r="A66" s="21">
        <v>45994</v>
      </c>
      <c r="B66" s="22">
        <v>1503.97</v>
      </c>
      <c r="C66" s="23">
        <v>0.47099999999999997</v>
      </c>
      <c r="D66" s="22">
        <v>1362.83</v>
      </c>
    </row>
    <row r="67" spans="1:4" x14ac:dyDescent="0.2">
      <c r="A67" s="21">
        <v>45995</v>
      </c>
      <c r="B67" s="22">
        <v>1524.76</v>
      </c>
      <c r="C67" s="23">
        <v>0.45900000000000002</v>
      </c>
      <c r="D67" s="22">
        <v>1397.79</v>
      </c>
    </row>
    <row r="68" spans="1:4" x14ac:dyDescent="0.2">
      <c r="A68" s="21">
        <v>45996</v>
      </c>
      <c r="B68" s="22">
        <v>1514.36</v>
      </c>
      <c r="C68" s="23">
        <v>0.44600000000000001</v>
      </c>
      <c r="D68" s="22">
        <v>1404.78</v>
      </c>
    </row>
    <row r="69" spans="1:4" x14ac:dyDescent="0.2">
      <c r="A69" s="21">
        <v>45999</v>
      </c>
      <c r="B69" s="22">
        <v>1569.31</v>
      </c>
      <c r="C69" s="23">
        <v>0.45400000000000001</v>
      </c>
      <c r="D69" s="22">
        <v>1439.21</v>
      </c>
    </row>
    <row r="70" spans="1:4" x14ac:dyDescent="0.2">
      <c r="A70" s="21">
        <v>46000</v>
      </c>
      <c r="B70" s="22">
        <v>1625.25</v>
      </c>
      <c r="C70" s="23">
        <v>0.46100000000000002</v>
      </c>
      <c r="D70" s="22">
        <v>1450.91</v>
      </c>
    </row>
    <row r="71" spans="1:4" x14ac:dyDescent="0.2">
      <c r="A71" s="21">
        <v>46001</v>
      </c>
      <c r="B71" s="22">
        <v>1594.07</v>
      </c>
      <c r="C71" s="23">
        <v>0.45300000000000001</v>
      </c>
      <c r="D71" s="22">
        <v>1447.95</v>
      </c>
    </row>
    <row r="72" spans="1:4" x14ac:dyDescent="0.2">
      <c r="A72" s="21">
        <v>46002</v>
      </c>
      <c r="B72" s="22">
        <v>1586.64</v>
      </c>
      <c r="C72" s="23">
        <v>0.44</v>
      </c>
      <c r="D72" s="22">
        <v>1456.55</v>
      </c>
    </row>
    <row r="73" spans="1:4" x14ac:dyDescent="0.2">
      <c r="A73" s="21">
        <v>46003</v>
      </c>
      <c r="B73" s="22">
        <v>1600.01</v>
      </c>
      <c r="C73" s="23">
        <v>0.42799999999999999</v>
      </c>
      <c r="D73" s="22">
        <v>1489.83</v>
      </c>
    </row>
    <row r="74" spans="1:4" x14ac:dyDescent="0.2">
      <c r="A74" s="21">
        <v>46006</v>
      </c>
      <c r="B74" s="22">
        <v>1557.93</v>
      </c>
      <c r="C74" s="23">
        <v>0.42699999999999999</v>
      </c>
      <c r="D74" s="22">
        <v>1458.66</v>
      </c>
    </row>
    <row r="75" spans="1:4" x14ac:dyDescent="0.2">
      <c r="A75" s="21">
        <v>46007</v>
      </c>
      <c r="B75" s="22">
        <v>1487.14</v>
      </c>
      <c r="C75" s="23">
        <v>0.45200000000000001</v>
      </c>
      <c r="D75" s="22">
        <v>1375.03</v>
      </c>
    </row>
    <row r="76" spans="1:4" x14ac:dyDescent="0.2">
      <c r="A76" s="21">
        <v>46008</v>
      </c>
      <c r="B76" s="22">
        <v>1511.89</v>
      </c>
      <c r="C76" s="23">
        <v>0.443</v>
      </c>
      <c r="D76" s="22">
        <v>1410.32</v>
      </c>
    </row>
    <row r="77" spans="1:4" x14ac:dyDescent="0.2">
      <c r="A77" s="21">
        <v>46009</v>
      </c>
      <c r="B77" s="22">
        <v>1534.66</v>
      </c>
      <c r="C77" s="23">
        <v>0.433</v>
      </c>
      <c r="D77" s="22">
        <v>1448.03</v>
      </c>
    </row>
    <row r="78" spans="1:4" x14ac:dyDescent="0.2">
      <c r="A78" s="21">
        <v>46010</v>
      </c>
      <c r="B78" s="22">
        <v>1544.07</v>
      </c>
      <c r="C78" s="23">
        <v>0.42099999999999999</v>
      </c>
      <c r="D78" s="22">
        <v>1460.64</v>
      </c>
    </row>
    <row r="79" spans="1:4" x14ac:dyDescent="0.2">
      <c r="A79" s="21">
        <v>46013</v>
      </c>
      <c r="B79" s="22">
        <v>1529.71</v>
      </c>
      <c r="C79" s="23">
        <v>0.41</v>
      </c>
      <c r="D79" s="22">
        <v>1465.66</v>
      </c>
    </row>
    <row r="80" spans="1:4" x14ac:dyDescent="0.2">
      <c r="A80" s="21">
        <v>46014</v>
      </c>
      <c r="B80" s="22">
        <v>1525.75</v>
      </c>
      <c r="C80" s="23">
        <v>0.39700000000000002</v>
      </c>
      <c r="D80" s="22">
        <v>1474.08</v>
      </c>
    </row>
    <row r="81" spans="1:4" x14ac:dyDescent="0.2">
      <c r="A81" s="21">
        <v>46020</v>
      </c>
      <c r="B81" s="22">
        <v>1510.9</v>
      </c>
      <c r="C81" s="23">
        <v>0.38700000000000001</v>
      </c>
      <c r="D81" s="22">
        <v>1479.03</v>
      </c>
    </row>
    <row r="82" spans="1:4" x14ac:dyDescent="0.2">
      <c r="A82" s="21">
        <v>46021</v>
      </c>
      <c r="B82" s="22">
        <v>1545.55</v>
      </c>
      <c r="C82" s="23">
        <v>0.38600000000000001</v>
      </c>
      <c r="D82" s="22">
        <v>1512.12</v>
      </c>
    </row>
    <row r="83" spans="1:4" x14ac:dyDescent="0.2">
      <c r="A83" s="21">
        <v>46024</v>
      </c>
      <c r="B83" s="22">
        <v>1586.15</v>
      </c>
      <c r="C83" s="23">
        <v>0.38700000000000001</v>
      </c>
      <c r="D83" s="22">
        <v>1546.46</v>
      </c>
    </row>
    <row r="84" spans="1:4" x14ac:dyDescent="0.2">
      <c r="A84" s="21">
        <v>46027</v>
      </c>
      <c r="B84" s="22">
        <v>1734.66</v>
      </c>
      <c r="C84" s="23">
        <v>0.51200000000000001</v>
      </c>
      <c r="D84" s="22">
        <v>1470.75</v>
      </c>
    </row>
    <row r="85" spans="1:4" x14ac:dyDescent="0.2">
      <c r="A85" s="21">
        <v>46028</v>
      </c>
      <c r="B85" s="22">
        <v>1723.27</v>
      </c>
      <c r="C85" s="23">
        <v>0.497</v>
      </c>
      <c r="D85" s="22">
        <v>1479.92</v>
      </c>
    </row>
    <row r="86" spans="1:4" x14ac:dyDescent="0.2">
      <c r="A86" s="21">
        <v>46029</v>
      </c>
      <c r="B86" s="22">
        <v>1806.94</v>
      </c>
      <c r="C86" s="23">
        <v>0.51600000000000001</v>
      </c>
      <c r="D86" s="22">
        <v>1507.29</v>
      </c>
    </row>
    <row r="87" spans="1:4" x14ac:dyDescent="0.2">
      <c r="A87" s="21">
        <v>46030</v>
      </c>
      <c r="B87" s="22">
        <v>1832.68</v>
      </c>
      <c r="C87" s="23">
        <v>0.503</v>
      </c>
      <c r="D87" s="22">
        <v>1541</v>
      </c>
    </row>
    <row r="88" spans="1:4" x14ac:dyDescent="0.2">
      <c r="A88" s="21">
        <v>46031</v>
      </c>
      <c r="B88" s="22">
        <v>1881.2</v>
      </c>
      <c r="C88" s="23">
        <v>0.498</v>
      </c>
      <c r="D88" s="22">
        <v>1554.6</v>
      </c>
    </row>
    <row r="89" spans="1:4" x14ac:dyDescent="0.2">
      <c r="A89" s="21">
        <v>46034</v>
      </c>
      <c r="B89" s="22">
        <v>1871.3</v>
      </c>
      <c r="C89" s="23">
        <v>0.48399999999999999</v>
      </c>
      <c r="D89" s="22">
        <v>1585.42</v>
      </c>
    </row>
    <row r="90" spans="1:4" x14ac:dyDescent="0.2">
      <c r="A90" s="21">
        <v>46035</v>
      </c>
      <c r="B90" s="22">
        <v>1885.16</v>
      </c>
      <c r="C90" s="23">
        <v>0.47</v>
      </c>
      <c r="D90" s="22">
        <v>1598.03</v>
      </c>
    </row>
    <row r="91" spans="1:4" x14ac:dyDescent="0.2">
      <c r="A91" s="21">
        <v>46036</v>
      </c>
      <c r="B91" s="22">
        <v>1880.21</v>
      </c>
      <c r="C91" s="23">
        <v>0.45600000000000002</v>
      </c>
      <c r="D91" s="22">
        <v>1625.4</v>
      </c>
    </row>
    <row r="92" spans="1:4" x14ac:dyDescent="0.2">
      <c r="A92" s="21">
        <v>46037</v>
      </c>
      <c r="B92" s="22">
        <v>1894.56</v>
      </c>
      <c r="C92" s="23">
        <v>0.443</v>
      </c>
      <c r="D92" s="22">
        <v>1636.68</v>
      </c>
    </row>
    <row r="93" spans="1:4" x14ac:dyDescent="0.2">
      <c r="A93" s="21">
        <v>46038</v>
      </c>
      <c r="B93" s="22">
        <v>1883.18</v>
      </c>
      <c r="C93" s="23">
        <v>0.43</v>
      </c>
      <c r="D93" s="22">
        <v>1663.81</v>
      </c>
    </row>
    <row r="94" spans="1:4" x14ac:dyDescent="0.2">
      <c r="A94" s="21">
        <v>46041</v>
      </c>
      <c r="B94" s="22">
        <v>1901</v>
      </c>
      <c r="C94" s="23">
        <v>0.41799999999999998</v>
      </c>
      <c r="D94" s="22">
        <v>1674.97</v>
      </c>
    </row>
    <row r="95" spans="1:4" x14ac:dyDescent="0.2">
      <c r="A95" s="21">
        <v>46042</v>
      </c>
      <c r="B95" s="22">
        <v>1890.11</v>
      </c>
      <c r="C95" s="23">
        <v>0.40600000000000003</v>
      </c>
      <c r="D95" s="22">
        <v>1698.33</v>
      </c>
    </row>
    <row r="96" spans="1:4" x14ac:dyDescent="0.2">
      <c r="A96" s="21">
        <v>46043</v>
      </c>
      <c r="B96" s="22">
        <v>1835.16</v>
      </c>
      <c r="C96" s="23">
        <v>0.41</v>
      </c>
      <c r="D96" s="22">
        <v>1670.92</v>
      </c>
    </row>
    <row r="97" spans="1:4" x14ac:dyDescent="0.2">
      <c r="A97" s="21">
        <v>46044</v>
      </c>
      <c r="B97" s="22">
        <v>1772.78</v>
      </c>
      <c r="C97" s="23">
        <v>0.42</v>
      </c>
      <c r="D97" s="22">
        <v>1614.37</v>
      </c>
    </row>
    <row r="98" spans="1:4" x14ac:dyDescent="0.2">
      <c r="A98" s="21">
        <v>46045</v>
      </c>
      <c r="B98" s="22">
        <v>1811.89</v>
      </c>
      <c r="C98" s="23">
        <v>0.41599999999999998</v>
      </c>
      <c r="D98" s="22">
        <v>1642.8</v>
      </c>
    </row>
    <row r="99" spans="1:4" x14ac:dyDescent="0.2">
      <c r="A99" s="21">
        <v>46048</v>
      </c>
      <c r="B99" s="22">
        <v>1773.27</v>
      </c>
      <c r="C99" s="23">
        <v>0.41199999999999998</v>
      </c>
      <c r="D99" s="22">
        <v>1639.85</v>
      </c>
    </row>
    <row r="100" spans="1:4" x14ac:dyDescent="0.2">
      <c r="A100" s="21">
        <v>46049</v>
      </c>
      <c r="B100" s="22">
        <v>1831.69</v>
      </c>
      <c r="C100" s="23">
        <v>0.41899999999999998</v>
      </c>
      <c r="D100" s="22">
        <v>1645.94</v>
      </c>
    </row>
    <row r="101" spans="1:4" x14ac:dyDescent="0.2">
      <c r="A101" s="21">
        <v>46050</v>
      </c>
      <c r="B101" s="22">
        <v>1826.74</v>
      </c>
      <c r="C101" s="23">
        <v>0.40600000000000003</v>
      </c>
      <c r="D101" s="22">
        <v>1674.4</v>
      </c>
    </row>
    <row r="102" spans="1:4" x14ac:dyDescent="0.2">
      <c r="A102" s="21">
        <v>46051</v>
      </c>
      <c r="B102" s="22">
        <v>1777.73</v>
      </c>
      <c r="C102" s="23">
        <v>0.40799999999999997</v>
      </c>
      <c r="D102" s="22">
        <v>1644.92</v>
      </c>
    </row>
    <row r="103" spans="1:4" x14ac:dyDescent="0.2">
      <c r="A103" s="21">
        <v>46052</v>
      </c>
      <c r="B103" s="22">
        <v>1763.87</v>
      </c>
      <c r="C103" s="23">
        <v>0.39600000000000002</v>
      </c>
      <c r="D103" s="22">
        <v>1649.86</v>
      </c>
    </row>
    <row r="104" spans="1:4" x14ac:dyDescent="0.2">
      <c r="A104" s="21">
        <v>46055</v>
      </c>
      <c r="B104" s="22">
        <v>1711.89</v>
      </c>
      <c r="C104" s="23">
        <v>0.40100000000000002</v>
      </c>
      <c r="D104" s="22">
        <v>1618.57</v>
      </c>
    </row>
    <row r="105" spans="1:4" x14ac:dyDescent="0.2">
      <c r="A105" s="21">
        <v>46056</v>
      </c>
      <c r="B105" s="22">
        <v>1743.08</v>
      </c>
      <c r="C105" s="23">
        <v>0.39600000000000002</v>
      </c>
      <c r="D105" s="22">
        <v>1647.65</v>
      </c>
    </row>
    <row r="106" spans="1:4" x14ac:dyDescent="0.2">
      <c r="A106" s="21">
        <v>46057</v>
      </c>
      <c r="B106" s="22">
        <v>1662.88</v>
      </c>
      <c r="C106" s="23">
        <v>0.42499999999999999</v>
      </c>
      <c r="D106" s="22">
        <v>1570.23</v>
      </c>
    </row>
    <row r="107" spans="1:4" x14ac:dyDescent="0.2">
      <c r="A107" s="21">
        <v>46058</v>
      </c>
      <c r="B107" s="22">
        <v>1555.45</v>
      </c>
      <c r="C107" s="23">
        <v>0.48699999999999999</v>
      </c>
      <c r="D107" s="22">
        <v>1411.36</v>
      </c>
    </row>
    <row r="108" spans="1:4" x14ac:dyDescent="0.2">
      <c r="A108" s="21">
        <v>46059</v>
      </c>
      <c r="B108" s="22">
        <v>1588.62</v>
      </c>
      <c r="C108" s="23">
        <v>0.47899999999999998</v>
      </c>
      <c r="D108" s="22">
        <v>1449.6</v>
      </c>
    </row>
    <row r="109" spans="1:4" x14ac:dyDescent="0.2">
      <c r="A109" s="21">
        <v>46062</v>
      </c>
      <c r="B109" s="22">
        <v>1632.68</v>
      </c>
      <c r="C109" s="23">
        <v>0.47699999999999998</v>
      </c>
      <c r="D109" s="22">
        <v>1485.01</v>
      </c>
    </row>
    <row r="110" spans="1:4" x14ac:dyDescent="0.2">
      <c r="A110" s="21">
        <v>46063</v>
      </c>
      <c r="B110" s="22">
        <v>1612.88</v>
      </c>
      <c r="C110" s="23">
        <v>0.46500000000000002</v>
      </c>
      <c r="D110" s="22">
        <v>1488.72</v>
      </c>
    </row>
    <row r="111" spans="1:4" x14ac:dyDescent="0.2">
      <c r="A111" s="21">
        <v>46064</v>
      </c>
      <c r="B111" s="22">
        <v>1576.24</v>
      </c>
      <c r="C111" s="23">
        <v>0.45900000000000002</v>
      </c>
      <c r="D111" s="22">
        <v>1462.36</v>
      </c>
    </row>
    <row r="112" spans="1:4" x14ac:dyDescent="0.2">
      <c r="A112" s="21">
        <v>46065</v>
      </c>
      <c r="B112" s="22">
        <v>1563.87</v>
      </c>
      <c r="C112" s="23">
        <v>0.44600000000000001</v>
      </c>
      <c r="D112" s="22">
        <v>1468.27</v>
      </c>
    </row>
    <row r="113" spans="1:4" x14ac:dyDescent="0.2">
      <c r="A113" s="21">
        <v>46066</v>
      </c>
      <c r="B113" s="22">
        <v>1593.08</v>
      </c>
      <c r="C113" s="23">
        <v>0.439</v>
      </c>
      <c r="D113" s="22">
        <v>1503.12</v>
      </c>
    </row>
    <row r="114" spans="1:4" x14ac:dyDescent="0.2">
      <c r="A114" s="21">
        <v>46069</v>
      </c>
      <c r="B114" s="22">
        <v>1603.97</v>
      </c>
      <c r="C114" s="23">
        <v>0.42599999999999999</v>
      </c>
      <c r="D114" s="22">
        <v>1539.22</v>
      </c>
    </row>
    <row r="115" spans="1:4" x14ac:dyDescent="0.2">
      <c r="A115" s="21">
        <v>46070</v>
      </c>
      <c r="B115" s="22">
        <v>1595.55</v>
      </c>
      <c r="C115" s="23">
        <v>0.41399999999999998</v>
      </c>
      <c r="D115" s="22">
        <v>1546.02</v>
      </c>
    </row>
    <row r="116" spans="1:4" x14ac:dyDescent="0.2">
      <c r="A116" s="21">
        <v>46071</v>
      </c>
      <c r="B116" s="22">
        <v>1677.23</v>
      </c>
      <c r="C116" s="23">
        <v>0.44600000000000001</v>
      </c>
      <c r="D116" s="22">
        <v>1544.72</v>
      </c>
    </row>
    <row r="117" spans="1:4" x14ac:dyDescent="0.2">
      <c r="A117" s="21">
        <v>46072</v>
      </c>
      <c r="B117" s="22">
        <v>1726.24</v>
      </c>
      <c r="C117" s="23">
        <v>0.44600000000000001</v>
      </c>
      <c r="D117" s="22">
        <v>1575.47</v>
      </c>
    </row>
    <row r="118" spans="1:4" x14ac:dyDescent="0.2">
      <c r="A118" s="21">
        <v>46073</v>
      </c>
      <c r="B118" s="22">
        <v>1722.78</v>
      </c>
      <c r="C118" s="23">
        <v>0.433</v>
      </c>
      <c r="D118" s="22">
        <v>1606.55</v>
      </c>
    </row>
    <row r="119" spans="1:4" x14ac:dyDescent="0.2">
      <c r="A119" s="21">
        <v>46076</v>
      </c>
      <c r="B119" s="22">
        <v>1684.66</v>
      </c>
      <c r="C119" s="23">
        <v>0.42799999999999999</v>
      </c>
      <c r="D119" s="22">
        <v>1579.79</v>
      </c>
    </row>
    <row r="120" spans="1:4" x14ac:dyDescent="0.2">
      <c r="A120" s="21">
        <v>46077</v>
      </c>
      <c r="B120" s="22">
        <v>1707.43</v>
      </c>
      <c r="C120" s="23">
        <v>0.41899999999999998</v>
      </c>
      <c r="D120" s="22">
        <v>1614.01</v>
      </c>
    </row>
    <row r="121" spans="1:4" x14ac:dyDescent="0.2">
      <c r="A121" s="21">
        <v>46078</v>
      </c>
      <c r="B121" s="22">
        <v>1665.35</v>
      </c>
      <c r="C121" s="23">
        <v>0.41699999999999998</v>
      </c>
      <c r="D121" s="22">
        <v>1583.59</v>
      </c>
    </row>
    <row r="122" spans="1:4" x14ac:dyDescent="0.2">
      <c r="A122" s="21">
        <v>46079</v>
      </c>
      <c r="B122" s="22">
        <v>1657.43</v>
      </c>
      <c r="C122" s="23">
        <v>0.40500000000000003</v>
      </c>
      <c r="D122" s="22">
        <v>1590.55</v>
      </c>
    </row>
    <row r="123" spans="1:4" x14ac:dyDescent="0.2">
      <c r="A123" s="21">
        <v>46080</v>
      </c>
      <c r="B123" s="22">
        <v>1647.04</v>
      </c>
      <c r="C123" s="23">
        <v>0.39300000000000002</v>
      </c>
      <c r="D123" s="22">
        <v>1619.28</v>
      </c>
    </row>
    <row r="124" spans="1:4" x14ac:dyDescent="0.2">
      <c r="A124" s="21">
        <v>46083</v>
      </c>
      <c r="B124" s="22">
        <v>1611.39</v>
      </c>
      <c r="C124" s="23">
        <v>0.39100000000000001</v>
      </c>
      <c r="D124" s="22">
        <v>1590.41</v>
      </c>
    </row>
    <row r="125" spans="1:4" x14ac:dyDescent="0.2">
      <c r="A125" s="21">
        <v>46084</v>
      </c>
      <c r="B125" s="22">
        <v>1564.36</v>
      </c>
      <c r="C125" s="23">
        <v>0.39600000000000002</v>
      </c>
      <c r="D125" s="22">
        <v>1553.83</v>
      </c>
    </row>
    <row r="126" spans="1:4" x14ac:dyDescent="0.2">
      <c r="A126" s="21">
        <v>46085</v>
      </c>
      <c r="B126" s="22">
        <v>1622.28</v>
      </c>
      <c r="C126" s="23">
        <v>0.40899999999999997</v>
      </c>
      <c r="D126" s="22">
        <v>1580.91</v>
      </c>
    </row>
    <row r="127" spans="1:4" x14ac:dyDescent="0.2">
      <c r="A127" s="21">
        <v>46086</v>
      </c>
      <c r="B127" s="22">
        <v>1531.69</v>
      </c>
      <c r="C127" s="23">
        <v>0.45500000000000002</v>
      </c>
      <c r="D127" s="22">
        <v>1458.82</v>
      </c>
    </row>
    <row r="128" spans="1:4" x14ac:dyDescent="0.2">
      <c r="A128" s="21">
        <v>46087</v>
      </c>
      <c r="B128" s="22">
        <v>1576.74</v>
      </c>
      <c r="C128" s="23">
        <v>0.45600000000000002</v>
      </c>
      <c r="D128" s="22">
        <v>1492.89</v>
      </c>
    </row>
    <row r="129" spans="1:4" x14ac:dyDescent="0.2">
      <c r="A129" s="21">
        <v>46090</v>
      </c>
      <c r="B129" s="22">
        <v>1608.92</v>
      </c>
      <c r="C129" s="23">
        <v>0.44900000000000001</v>
      </c>
      <c r="D129" s="22">
        <v>1507.81</v>
      </c>
    </row>
    <row r="130" spans="1:4" x14ac:dyDescent="0.2">
      <c r="A130" s="21">
        <v>46091</v>
      </c>
      <c r="B130" s="22">
        <v>1636.64</v>
      </c>
      <c r="C130" s="23">
        <v>0.44</v>
      </c>
      <c r="D130" s="22">
        <v>1544.74</v>
      </c>
    </row>
    <row r="131" spans="1:4" x14ac:dyDescent="0.2">
      <c r="A131" s="21">
        <v>46092</v>
      </c>
      <c r="B131" s="22">
        <v>1505.45</v>
      </c>
      <c r="C131" s="23">
        <v>0.53600000000000003</v>
      </c>
      <c r="D131" s="22">
        <v>1353.02</v>
      </c>
    </row>
    <row r="132" spans="1:4" x14ac:dyDescent="0.2">
      <c r="A132" s="21">
        <v>46093</v>
      </c>
      <c r="B132" s="22">
        <v>1535.16</v>
      </c>
      <c r="C132" s="23">
        <v>0.52500000000000002</v>
      </c>
      <c r="D132" s="22">
        <v>1389.82</v>
      </c>
    </row>
    <row r="133" spans="1:4" x14ac:dyDescent="0.2">
      <c r="A133" s="21">
        <v>46094</v>
      </c>
      <c r="B133" s="22">
        <v>1576.74</v>
      </c>
      <c r="C133" s="23">
        <v>0.52</v>
      </c>
      <c r="D133" s="22">
        <v>1407.82</v>
      </c>
    </row>
    <row r="134" spans="1:4" x14ac:dyDescent="0.2">
      <c r="A134" s="21">
        <v>46097</v>
      </c>
      <c r="B134" s="22">
        <v>1608.42</v>
      </c>
      <c r="C134" s="23">
        <v>0.51</v>
      </c>
      <c r="D134" s="22">
        <v>1447.23</v>
      </c>
    </row>
    <row r="135" spans="1:4" x14ac:dyDescent="0.2">
      <c r="A135" s="21">
        <v>46098</v>
      </c>
      <c r="B135" s="22">
        <v>1618.82</v>
      </c>
      <c r="C135" s="23">
        <v>0.495</v>
      </c>
      <c r="D135" s="22">
        <v>1480.72</v>
      </c>
    </row>
    <row r="136" spans="1:4" x14ac:dyDescent="0.2">
      <c r="A136" s="21">
        <v>46099</v>
      </c>
      <c r="B136" s="22">
        <v>1589.61</v>
      </c>
      <c r="C136" s="23">
        <v>0.48499999999999999</v>
      </c>
      <c r="D136" s="22">
        <v>1459.55</v>
      </c>
    </row>
    <row r="137" spans="1:4" x14ac:dyDescent="0.2">
      <c r="A137" s="21">
        <v>46100</v>
      </c>
      <c r="B137" s="22">
        <v>1534.66</v>
      </c>
      <c r="C137" s="23">
        <v>0.49</v>
      </c>
      <c r="D137" s="22">
        <v>1416.92</v>
      </c>
    </row>
    <row r="138" spans="1:4" x14ac:dyDescent="0.2">
      <c r="A138" s="21">
        <v>46101</v>
      </c>
      <c r="B138" s="22">
        <v>1488.13</v>
      </c>
      <c r="C138" s="23">
        <v>0.49</v>
      </c>
      <c r="D138" s="22">
        <v>1401</v>
      </c>
    </row>
    <row r="139" spans="1:4" x14ac:dyDescent="0.2">
      <c r="A139" s="21">
        <v>46104</v>
      </c>
      <c r="B139" s="22">
        <v>1468.32</v>
      </c>
      <c r="C139" s="23">
        <v>0.47799999999999998</v>
      </c>
      <c r="D139" s="22">
        <v>1383.86</v>
      </c>
    </row>
    <row r="140" spans="1:4" x14ac:dyDescent="0.2">
      <c r="A140" s="21">
        <v>46105</v>
      </c>
      <c r="B140" s="22">
        <v>1456.94</v>
      </c>
      <c r="C140" s="23">
        <v>0.46400000000000002</v>
      </c>
      <c r="D140" s="22">
        <v>1388.76</v>
      </c>
    </row>
    <row r="141" spans="1:4" x14ac:dyDescent="0.2">
      <c r="A141" s="21">
        <v>46106</v>
      </c>
      <c r="B141" s="22">
        <v>1471.79</v>
      </c>
      <c r="C141" s="23">
        <v>0.45200000000000001</v>
      </c>
      <c r="D141" s="22">
        <v>1423.42</v>
      </c>
    </row>
    <row r="142" spans="1:4" x14ac:dyDescent="0.2">
      <c r="A142" s="21">
        <v>46107</v>
      </c>
      <c r="B142" s="22">
        <v>1421.79</v>
      </c>
      <c r="C142" s="23">
        <v>0.45800000000000002</v>
      </c>
      <c r="D142" s="22">
        <v>1379.92</v>
      </c>
    </row>
    <row r="143" spans="1:4" x14ac:dyDescent="0.2">
      <c r="A143" s="21">
        <v>46108</v>
      </c>
      <c r="B143" s="22">
        <v>1365.85</v>
      </c>
      <c r="C143" s="23">
        <v>0.47099999999999997</v>
      </c>
      <c r="D143" s="22">
        <v>1326.36</v>
      </c>
    </row>
    <row r="144" spans="1:4" x14ac:dyDescent="0.2">
      <c r="A144" s="21">
        <v>46111</v>
      </c>
      <c r="B144" s="22">
        <v>1395.55</v>
      </c>
      <c r="C144" s="23">
        <v>0.46400000000000002</v>
      </c>
      <c r="D144" s="22">
        <v>1344.84</v>
      </c>
    </row>
    <row r="145" spans="1:4" x14ac:dyDescent="0.2">
      <c r="A145" s="21">
        <v>46112</v>
      </c>
      <c r="B145" s="22">
        <v>1430.2</v>
      </c>
      <c r="C145" s="23">
        <v>0.46</v>
      </c>
      <c r="D145" s="22">
        <v>1384.01</v>
      </c>
    </row>
    <row r="146" spans="1:4" x14ac:dyDescent="0.2">
      <c r="A146" s="21">
        <v>46113</v>
      </c>
      <c r="B146" s="22">
        <v>1565.85</v>
      </c>
      <c r="C146" s="23">
        <v>0.56799999999999995</v>
      </c>
      <c r="D146" s="22">
        <v>1377.74</v>
      </c>
    </row>
    <row r="147" spans="1:4" x14ac:dyDescent="0.2">
      <c r="A147" s="21">
        <v>46114</v>
      </c>
      <c r="B147" s="22">
        <v>1554.96</v>
      </c>
      <c r="C147" s="23">
        <v>0.55200000000000005</v>
      </c>
      <c r="D147" s="22">
        <v>1386.03</v>
      </c>
    </row>
    <row r="148" spans="1:4" x14ac:dyDescent="0.2">
      <c r="A148" s="21">
        <v>46119</v>
      </c>
      <c r="B148" s="22">
        <v>1515.85</v>
      </c>
      <c r="C148" s="23">
        <v>0.54400000000000004</v>
      </c>
      <c r="D148" s="22">
        <v>1361.71</v>
      </c>
    </row>
    <row r="149" spans="1:4" x14ac:dyDescent="0.2">
      <c r="A149" s="21">
        <v>46120</v>
      </c>
      <c r="B149" s="22">
        <v>1562.38</v>
      </c>
      <c r="C149" s="23">
        <v>0.54</v>
      </c>
      <c r="D149" s="22">
        <v>1400.26</v>
      </c>
    </row>
    <row r="150" spans="1:4" x14ac:dyDescent="0.2">
      <c r="A150" s="21">
        <v>46121</v>
      </c>
      <c r="B150" s="22">
        <v>1534.86</v>
      </c>
      <c r="C150" s="23">
        <v>0.52800000000000002</v>
      </c>
      <c r="D150" s="22">
        <v>1399.25</v>
      </c>
    </row>
    <row r="151" spans="1:4" x14ac:dyDescent="0.2">
      <c r="A151" s="21">
        <v>46122</v>
      </c>
      <c r="B151" s="22">
        <v>1449.31</v>
      </c>
      <c r="C151" s="23">
        <v>0.55900000000000005</v>
      </c>
      <c r="D151" s="22">
        <v>1309.08</v>
      </c>
    </row>
    <row r="152" spans="1:4" x14ac:dyDescent="0.2">
      <c r="A152" s="21">
        <v>46125</v>
      </c>
      <c r="B152" s="22">
        <v>1480.6</v>
      </c>
      <c r="C152" s="23">
        <v>0.54800000000000004</v>
      </c>
      <c r="D152" s="22">
        <v>1349.45</v>
      </c>
    </row>
    <row r="153" spans="1:4" x14ac:dyDescent="0.2">
      <c r="A153" s="21">
        <v>46126</v>
      </c>
      <c r="B153" s="22">
        <v>1471.89</v>
      </c>
      <c r="C153" s="23">
        <v>0.53200000000000003</v>
      </c>
      <c r="D153" s="22">
        <v>1357.88</v>
      </c>
    </row>
    <row r="154" spans="1:4" x14ac:dyDescent="0.2">
      <c r="A154" s="21">
        <v>46127</v>
      </c>
      <c r="B154" s="22">
        <v>1500.2</v>
      </c>
      <c r="C154" s="23">
        <v>0.52100000000000002</v>
      </c>
      <c r="D154" s="22">
        <v>1376.33</v>
      </c>
    </row>
    <row r="155" spans="1:4" x14ac:dyDescent="0.2">
      <c r="A155" s="21">
        <v>46128</v>
      </c>
      <c r="B155" s="22">
        <v>1482.38</v>
      </c>
      <c r="C155" s="23">
        <v>0.50700000000000001</v>
      </c>
      <c r="D155" s="22">
        <v>1379.52</v>
      </c>
    </row>
    <row r="156" spans="1:4" x14ac:dyDescent="0.2">
      <c r="A156" s="21">
        <v>46129</v>
      </c>
      <c r="B156" s="22">
        <v>1480.4</v>
      </c>
      <c r="C156" s="23">
        <v>0.49199999999999999</v>
      </c>
      <c r="D156" s="22">
        <v>1409.71</v>
      </c>
    </row>
    <row r="157" spans="1:4" x14ac:dyDescent="0.2">
      <c r="A157" s="21">
        <v>46132</v>
      </c>
      <c r="B157" s="22">
        <v>1461.19</v>
      </c>
      <c r="C157" s="23">
        <v>0.48</v>
      </c>
      <c r="D157" s="22">
        <v>1412.29</v>
      </c>
    </row>
    <row r="158" spans="1:4" x14ac:dyDescent="0.2">
      <c r="A158" s="21">
        <v>46133</v>
      </c>
      <c r="B158" s="22">
        <v>1416.84</v>
      </c>
      <c r="C158" s="23">
        <v>0.48</v>
      </c>
      <c r="D158" s="22">
        <v>1374.66</v>
      </c>
    </row>
    <row r="159" spans="1:4" x14ac:dyDescent="0.2">
      <c r="A159" s="21">
        <v>46134</v>
      </c>
      <c r="B159" s="22">
        <v>1408.72</v>
      </c>
      <c r="C159" s="23">
        <v>0.46600000000000003</v>
      </c>
      <c r="D159" s="22">
        <v>1381.01</v>
      </c>
    </row>
    <row r="160" spans="1:4" x14ac:dyDescent="0.2">
      <c r="A160" s="21">
        <v>46135</v>
      </c>
      <c r="B160" s="22">
        <v>1393.08</v>
      </c>
      <c r="C160" s="23">
        <v>0.45400000000000001</v>
      </c>
      <c r="D160" s="22">
        <v>1382.78</v>
      </c>
    </row>
    <row r="161" spans="1:4" x14ac:dyDescent="0.2">
      <c r="A161" s="21">
        <v>46136</v>
      </c>
      <c r="B161" s="22">
        <v>1306.1400000000001</v>
      </c>
      <c r="C161" s="23">
        <v>0.50600000000000001</v>
      </c>
      <c r="D161" s="22">
        <v>1247.42</v>
      </c>
    </row>
    <row r="162" spans="1:4" x14ac:dyDescent="0.2">
      <c r="A162" s="21">
        <v>46139</v>
      </c>
      <c r="B162" s="22">
        <v>1332.48</v>
      </c>
      <c r="C162" s="23">
        <v>0.497</v>
      </c>
      <c r="D162" s="22">
        <v>1287.3699999999999</v>
      </c>
    </row>
    <row r="163" spans="1:4" x14ac:dyDescent="0.2">
      <c r="A163" s="21">
        <v>46140</v>
      </c>
      <c r="B163" s="22">
        <v>1329.91</v>
      </c>
      <c r="C163" s="23">
        <v>0.48199999999999998</v>
      </c>
      <c r="D163" s="22">
        <v>1295.54</v>
      </c>
    </row>
    <row r="164" spans="1:4" x14ac:dyDescent="0.2">
      <c r="A164" s="21">
        <v>46141</v>
      </c>
      <c r="B164" s="22">
        <v>1324.76</v>
      </c>
      <c r="C164" s="23">
        <v>0.46800000000000003</v>
      </c>
      <c r="D164" s="22">
        <v>1302.19</v>
      </c>
    </row>
    <row r="165" spans="1:4" x14ac:dyDescent="0.2">
      <c r="A165" s="21">
        <v>46142</v>
      </c>
      <c r="B165" s="22">
        <v>1342.38</v>
      </c>
      <c r="C165" s="23">
        <v>0.45600000000000002</v>
      </c>
      <c r="D165" s="22">
        <v>1338.73</v>
      </c>
    </row>
    <row r="166" spans="1:4" x14ac:dyDescent="0.2">
      <c r="A166" s="21">
        <v>46146</v>
      </c>
      <c r="B166" s="22">
        <v>1374.46</v>
      </c>
      <c r="C166" s="23">
        <v>0.45200000000000001</v>
      </c>
      <c r="D166" s="22">
        <v>1357.09</v>
      </c>
    </row>
    <row r="167" spans="1:4" x14ac:dyDescent="0.2">
      <c r="A167" s="21">
        <v>46147</v>
      </c>
      <c r="B167" s="22">
        <v>1421.19</v>
      </c>
      <c r="C167" s="23">
        <v>0.45700000000000002</v>
      </c>
      <c r="D167" s="22">
        <v>1396.53</v>
      </c>
    </row>
    <row r="168" spans="1:4" x14ac:dyDescent="0.2">
      <c r="A168" s="21">
        <v>46148</v>
      </c>
      <c r="B168" s="22">
        <v>1427.33</v>
      </c>
      <c r="C168" s="23">
        <v>0.443</v>
      </c>
      <c r="D168" s="22">
        <v>1429.86</v>
      </c>
    </row>
    <row r="169" spans="1:4" x14ac:dyDescent="0.2">
      <c r="A169" s="21">
        <v>46149</v>
      </c>
      <c r="B169" s="22">
        <v>1328.32</v>
      </c>
      <c r="C169" s="23">
        <v>0.51300000000000001</v>
      </c>
      <c r="D169" s="22">
        <v>1280.0999999999999</v>
      </c>
    </row>
    <row r="170" spans="1:4" x14ac:dyDescent="0.2">
      <c r="A170" s="21">
        <v>46150</v>
      </c>
      <c r="B170" s="22">
        <v>1206.3399999999999</v>
      </c>
      <c r="C170" s="23">
        <v>0.6</v>
      </c>
      <c r="D170" s="22">
        <v>1114.08</v>
      </c>
    </row>
    <row r="171" spans="1:4" x14ac:dyDescent="0.2">
      <c r="A171" s="21">
        <v>46153</v>
      </c>
      <c r="B171" s="22">
        <v>1173.8699999999999</v>
      </c>
      <c r="C171" s="23">
        <v>0.6</v>
      </c>
      <c r="D171" s="22">
        <v>1083.32</v>
      </c>
    </row>
    <row r="172" spans="1:4" x14ac:dyDescent="0.2">
      <c r="A172" s="21">
        <v>46154</v>
      </c>
      <c r="B172" s="22">
        <v>1150.5</v>
      </c>
      <c r="C172" s="23">
        <v>0.59899999999999998</v>
      </c>
      <c r="D172" s="22">
        <v>1069.49</v>
      </c>
    </row>
    <row r="173" spans="1:4" x14ac:dyDescent="0.2">
      <c r="A173" s="21">
        <v>46155</v>
      </c>
      <c r="B173" s="22">
        <v>1121.5999999999999</v>
      </c>
      <c r="C173" s="23">
        <v>0.58899999999999997</v>
      </c>
      <c r="D173" s="22">
        <v>1042.93</v>
      </c>
    </row>
    <row r="174" spans="1:4" x14ac:dyDescent="0.2">
      <c r="A174" s="21">
        <v>46156</v>
      </c>
      <c r="B174" s="22">
        <v>1143.2</v>
      </c>
      <c r="C174" s="23">
        <v>0.57599999999999996</v>
      </c>
      <c r="D174" s="22">
        <v>1063.42</v>
      </c>
    </row>
    <row r="175" spans="1:4" x14ac:dyDescent="0.2">
      <c r="A175" s="21">
        <v>46157</v>
      </c>
      <c r="B175" s="22">
        <v>1120</v>
      </c>
      <c r="C175" s="23">
        <v>0.56399999999999995</v>
      </c>
      <c r="D175" s="22">
        <v>1053.52</v>
      </c>
    </row>
    <row r="176" spans="1:4" x14ac:dyDescent="0.2">
      <c r="A176" s="21">
        <v>46160</v>
      </c>
      <c r="B176" s="22">
        <v>1172</v>
      </c>
      <c r="C176" s="23">
        <v>0.57499999999999996</v>
      </c>
      <c r="D176" s="22">
        <v>1096.6300000000001</v>
      </c>
    </row>
    <row r="177" spans="1:4" x14ac:dyDescent="0.2">
      <c r="A177" s="21">
        <v>46161</v>
      </c>
      <c r="B177" s="22">
        <v>1207</v>
      </c>
      <c r="C177" s="23">
        <v>0.56899999999999995</v>
      </c>
      <c r="D177" s="22">
        <v>1135.0999999999999</v>
      </c>
    </row>
    <row r="178" spans="1:4" x14ac:dyDescent="0.2">
      <c r="A178" s="21">
        <v>46162</v>
      </c>
      <c r="B178" s="22">
        <v>1233.5999999999999</v>
      </c>
      <c r="C178" s="23">
        <v>0.55800000000000005</v>
      </c>
      <c r="D178" s="22">
        <v>1156.46</v>
      </c>
    </row>
    <row r="179" spans="1:4" x14ac:dyDescent="0.2">
      <c r="A179" s="21">
        <v>46163</v>
      </c>
      <c r="B179" s="22">
        <v>1209.4000000000001</v>
      </c>
      <c r="C179" s="23">
        <v>0.54600000000000004</v>
      </c>
      <c r="D179" s="22">
        <v>1148.52</v>
      </c>
    </row>
    <row r="180" spans="1:4" x14ac:dyDescent="0.2">
      <c r="A180" s="21">
        <v>46164</v>
      </c>
      <c r="B180" s="22">
        <v>1227.2</v>
      </c>
      <c r="C180" s="23">
        <v>0.53300000000000003</v>
      </c>
      <c r="D180" s="22">
        <v>1166.5999999999999</v>
      </c>
    </row>
    <row r="181" spans="1:4" x14ac:dyDescent="0.2">
      <c r="A181" s="21">
        <v>46167</v>
      </c>
      <c r="B181" s="22">
        <v>1243.5999999999999</v>
      </c>
      <c r="C181" s="23">
        <v>0.51900000000000002</v>
      </c>
      <c r="D181" s="22">
        <v>1201.9000000000001</v>
      </c>
    </row>
    <row r="182" spans="1:4" x14ac:dyDescent="0.2">
      <c r="A182" s="21">
        <v>46168</v>
      </c>
      <c r="B182" s="22">
        <v>1237.2</v>
      </c>
      <c r="C182" s="23">
        <v>0.504</v>
      </c>
      <c r="D182" s="22">
        <v>1206.68</v>
      </c>
    </row>
    <row r="183" spans="1:4" x14ac:dyDescent="0.2">
      <c r="A183" s="21">
        <v>46169</v>
      </c>
      <c r="B183" s="22">
        <v>1232.8</v>
      </c>
      <c r="C183" s="23">
        <v>0.48899999999999999</v>
      </c>
      <c r="D183" s="22">
        <v>1212.49</v>
      </c>
    </row>
    <row r="184" spans="1:4" x14ac:dyDescent="0.2">
      <c r="A184" s="21">
        <v>46170</v>
      </c>
      <c r="B184" s="22">
        <v>1284</v>
      </c>
      <c r="C184" s="23">
        <v>0.499</v>
      </c>
      <c r="D184" s="22">
        <v>1253.8599999999999</v>
      </c>
    </row>
    <row r="185" spans="1:4" x14ac:dyDescent="0.2">
      <c r="A185" s="21">
        <v>46171</v>
      </c>
      <c r="B185" s="22">
        <v>1293.4000000000001</v>
      </c>
      <c r="C185" s="23">
        <v>0.48499999999999999</v>
      </c>
      <c r="D185" s="22">
        <v>1267.25</v>
      </c>
    </row>
    <row r="186" spans="1:4" x14ac:dyDescent="0.2">
      <c r="A186" s="21">
        <v>46174</v>
      </c>
      <c r="B186" s="22">
        <v>1207</v>
      </c>
      <c r="C186" s="23">
        <v>0.54200000000000004</v>
      </c>
      <c r="D186" s="22">
        <v>1153.79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5"/>
  <sheetViews>
    <sheetView showGridLines="0" zoomScaleNormal="100" workbookViewId="0"/>
  </sheetViews>
  <sheetFormatPr baseColWidth="10" defaultColWidth="8.6640625" defaultRowHeight="15" x14ac:dyDescent="0.2"/>
  <cols>
    <col min="1" max="5" width="12" customWidth="1"/>
  </cols>
  <sheetData>
    <row r="1" spans="1:5" ht="18" x14ac:dyDescent="0.2">
      <c r="A1" s="2" t="s">
        <v>131</v>
      </c>
    </row>
    <row r="2" spans="1:5" x14ac:dyDescent="0.2">
      <c r="A2" s="20" t="s">
        <v>132</v>
      </c>
    </row>
    <row r="3" spans="1:5" x14ac:dyDescent="0.2">
      <c r="A3" s="6" t="s">
        <v>127</v>
      </c>
      <c r="B3" s="6" t="s">
        <v>133</v>
      </c>
      <c r="C3" s="6" t="s">
        <v>134</v>
      </c>
      <c r="D3" s="6" t="s">
        <v>135</v>
      </c>
      <c r="E3" s="6" t="s">
        <v>136</v>
      </c>
    </row>
    <row r="4" spans="1:5" x14ac:dyDescent="0.2">
      <c r="A4" s="21">
        <v>45904</v>
      </c>
      <c r="B4" s="22">
        <v>1658.44</v>
      </c>
      <c r="C4" s="22">
        <v>1658.67</v>
      </c>
      <c r="D4" s="22">
        <v>1627.07</v>
      </c>
      <c r="E4" s="22">
        <v>1635.75</v>
      </c>
    </row>
    <row r="5" spans="1:5" x14ac:dyDescent="0.2">
      <c r="A5" s="21">
        <v>45905</v>
      </c>
      <c r="B5" s="22">
        <v>1640.27</v>
      </c>
      <c r="C5" s="22">
        <v>1657.3</v>
      </c>
      <c r="D5" s="22">
        <v>1638.78</v>
      </c>
      <c r="E5" s="22">
        <v>1648.28</v>
      </c>
    </row>
    <row r="6" spans="1:5" x14ac:dyDescent="0.2">
      <c r="A6" s="21">
        <v>45908</v>
      </c>
      <c r="B6" s="22">
        <v>1656.37</v>
      </c>
      <c r="C6" s="22">
        <v>1679.73</v>
      </c>
      <c r="D6" s="22">
        <v>1656.05</v>
      </c>
      <c r="E6" s="22">
        <v>1675.51</v>
      </c>
    </row>
    <row r="7" spans="1:5" x14ac:dyDescent="0.2">
      <c r="A7" s="21">
        <v>45909</v>
      </c>
      <c r="B7" s="22">
        <v>1683.01</v>
      </c>
      <c r="C7" s="22">
        <v>1684.43</v>
      </c>
      <c r="D7" s="22">
        <v>1647.75</v>
      </c>
      <c r="E7" s="22">
        <v>1671.59</v>
      </c>
    </row>
    <row r="8" spans="1:5" x14ac:dyDescent="0.2">
      <c r="A8" s="21">
        <v>45910</v>
      </c>
      <c r="B8" s="22">
        <v>1677.11</v>
      </c>
      <c r="C8" s="22">
        <v>1700.7</v>
      </c>
      <c r="D8" s="22">
        <v>1675.16</v>
      </c>
      <c r="E8" s="22">
        <v>1699.14</v>
      </c>
    </row>
    <row r="9" spans="1:5" x14ac:dyDescent="0.2">
      <c r="A9" s="21">
        <v>45911</v>
      </c>
      <c r="B9" s="22">
        <v>1706.63</v>
      </c>
      <c r="C9" s="22">
        <v>1723.87</v>
      </c>
      <c r="D9" s="22">
        <v>1691.8</v>
      </c>
      <c r="E9" s="22">
        <v>1721.63</v>
      </c>
    </row>
    <row r="10" spans="1:5" x14ac:dyDescent="0.2">
      <c r="A10" s="21">
        <v>45912</v>
      </c>
      <c r="B10" s="22">
        <v>1721.39</v>
      </c>
      <c r="C10" s="22">
        <v>1726.5</v>
      </c>
      <c r="D10" s="22">
        <v>1710.88</v>
      </c>
      <c r="E10" s="22">
        <v>1713.91</v>
      </c>
    </row>
    <row r="11" spans="1:5" x14ac:dyDescent="0.2">
      <c r="A11" s="21">
        <v>45915</v>
      </c>
      <c r="B11" s="22">
        <v>1720.16</v>
      </c>
      <c r="C11" s="22">
        <v>1736.82</v>
      </c>
      <c r="D11" s="22">
        <v>1720.02</v>
      </c>
      <c r="E11" s="22">
        <v>1735.5</v>
      </c>
    </row>
    <row r="12" spans="1:5" x14ac:dyDescent="0.2">
      <c r="A12" s="21">
        <v>45916</v>
      </c>
      <c r="B12" s="22">
        <v>1740.5</v>
      </c>
      <c r="C12" s="22">
        <v>1747.87</v>
      </c>
      <c r="D12" s="22">
        <v>1713.39</v>
      </c>
      <c r="E12" s="22">
        <v>1728.41</v>
      </c>
    </row>
    <row r="13" spans="1:5" x14ac:dyDescent="0.2">
      <c r="A13" s="21">
        <v>45917</v>
      </c>
      <c r="B13" s="22">
        <v>1726.16</v>
      </c>
      <c r="C13" s="22">
        <v>1738.88</v>
      </c>
      <c r="D13" s="22">
        <v>1695.26</v>
      </c>
      <c r="E13" s="22">
        <v>1699.94</v>
      </c>
    </row>
    <row r="14" spans="1:5" x14ac:dyDescent="0.2">
      <c r="A14" s="21">
        <v>45918</v>
      </c>
      <c r="B14" s="22">
        <v>1705.82</v>
      </c>
      <c r="C14" s="22">
        <v>1711.61</v>
      </c>
      <c r="D14" s="22">
        <v>1696.04</v>
      </c>
      <c r="E14" s="22">
        <v>1708.18</v>
      </c>
    </row>
    <row r="15" spans="1:5" x14ac:dyDescent="0.2">
      <c r="A15" s="21">
        <v>45919</v>
      </c>
      <c r="B15" s="22">
        <v>1709.86</v>
      </c>
      <c r="C15" s="22">
        <v>1715.64</v>
      </c>
      <c r="D15" s="22">
        <v>1703.53</v>
      </c>
      <c r="E15" s="22">
        <v>1711.35</v>
      </c>
    </row>
    <row r="16" spans="1:5" x14ac:dyDescent="0.2">
      <c r="A16" s="21">
        <v>45922</v>
      </c>
      <c r="B16" s="22">
        <v>1715.32</v>
      </c>
      <c r="C16" s="22">
        <v>1721.63</v>
      </c>
      <c r="D16" s="22">
        <v>1709.47</v>
      </c>
      <c r="E16" s="22">
        <v>1717.27</v>
      </c>
    </row>
    <row r="17" spans="1:5" x14ac:dyDescent="0.2">
      <c r="A17" s="21">
        <v>45923</v>
      </c>
      <c r="B17" s="22">
        <v>1718.78</v>
      </c>
      <c r="C17" s="22">
        <v>1719.14</v>
      </c>
      <c r="D17" s="22">
        <v>1703.58</v>
      </c>
      <c r="E17" s="22">
        <v>1708.72</v>
      </c>
    </row>
    <row r="18" spans="1:5" x14ac:dyDescent="0.2">
      <c r="A18" s="21">
        <v>45924</v>
      </c>
      <c r="B18" s="22">
        <v>1714.37</v>
      </c>
      <c r="C18" s="22">
        <v>1737.55</v>
      </c>
      <c r="D18" s="22">
        <v>1713.25</v>
      </c>
      <c r="E18" s="22">
        <v>1735.68</v>
      </c>
    </row>
    <row r="19" spans="1:5" x14ac:dyDescent="0.2">
      <c r="A19" s="21">
        <v>45925</v>
      </c>
      <c r="B19" s="22">
        <v>1738.86</v>
      </c>
      <c r="C19" s="22">
        <v>1739.05</v>
      </c>
      <c r="D19" s="22">
        <v>1725.95</v>
      </c>
      <c r="E19" s="22">
        <v>1736.25</v>
      </c>
    </row>
    <row r="20" spans="1:5" x14ac:dyDescent="0.2">
      <c r="A20" s="21">
        <v>45926</v>
      </c>
      <c r="B20" s="22">
        <v>1738.45</v>
      </c>
      <c r="C20" s="22">
        <v>1740.33</v>
      </c>
      <c r="D20" s="22">
        <v>1730.36</v>
      </c>
      <c r="E20" s="22">
        <v>1733.33</v>
      </c>
    </row>
    <row r="21" spans="1:5" x14ac:dyDescent="0.2">
      <c r="A21" s="21">
        <v>45929</v>
      </c>
      <c r="B21" s="22">
        <v>1737.98</v>
      </c>
      <c r="C21" s="22">
        <v>1746.61</v>
      </c>
      <c r="D21" s="22">
        <v>1735.4</v>
      </c>
      <c r="E21" s="22">
        <v>1744.63</v>
      </c>
    </row>
    <row r="22" spans="1:5" x14ac:dyDescent="0.2">
      <c r="A22" s="21">
        <v>45930</v>
      </c>
      <c r="B22" s="22">
        <v>1744.4</v>
      </c>
      <c r="C22" s="22">
        <v>1744.4</v>
      </c>
      <c r="D22" s="22">
        <v>1730.14</v>
      </c>
      <c r="E22" s="22">
        <v>1739.88</v>
      </c>
    </row>
    <row r="23" spans="1:5" x14ac:dyDescent="0.2">
      <c r="A23" s="21">
        <v>45931</v>
      </c>
      <c r="B23" s="22">
        <v>1740.16</v>
      </c>
      <c r="C23" s="22">
        <v>1740.22</v>
      </c>
      <c r="D23" s="22">
        <v>1718.51</v>
      </c>
      <c r="E23" s="22">
        <v>1732.78</v>
      </c>
    </row>
    <row r="24" spans="1:5" x14ac:dyDescent="0.2">
      <c r="A24" s="21">
        <v>45932</v>
      </c>
      <c r="B24" s="22">
        <v>1734.68</v>
      </c>
      <c r="C24" s="22">
        <v>1743.2</v>
      </c>
      <c r="D24" s="22">
        <v>1734.32</v>
      </c>
      <c r="E24" s="22">
        <v>1741.51</v>
      </c>
    </row>
    <row r="25" spans="1:5" x14ac:dyDescent="0.2">
      <c r="A25" s="21">
        <v>45933</v>
      </c>
      <c r="B25" s="22">
        <v>1742.57</v>
      </c>
      <c r="C25" s="22">
        <v>1751.25</v>
      </c>
      <c r="D25" s="22">
        <v>1735.53</v>
      </c>
      <c r="E25" s="22">
        <v>1738.5</v>
      </c>
    </row>
    <row r="26" spans="1:5" x14ac:dyDescent="0.2">
      <c r="A26" s="21">
        <v>45936</v>
      </c>
      <c r="B26" s="22">
        <v>1742.26</v>
      </c>
      <c r="C26" s="22">
        <v>1742.38</v>
      </c>
      <c r="D26" s="22">
        <v>1694.37</v>
      </c>
      <c r="E26" s="22">
        <v>1716.39</v>
      </c>
    </row>
    <row r="27" spans="1:5" x14ac:dyDescent="0.2">
      <c r="A27" s="21">
        <v>45937</v>
      </c>
      <c r="B27" s="22">
        <v>1707.64</v>
      </c>
      <c r="C27" s="22">
        <v>1708.12</v>
      </c>
      <c r="D27" s="22">
        <v>1684.67</v>
      </c>
      <c r="E27" s="22">
        <v>1698.79</v>
      </c>
    </row>
    <row r="28" spans="1:5" x14ac:dyDescent="0.2">
      <c r="A28" s="21">
        <v>45938</v>
      </c>
      <c r="B28" s="22">
        <v>1701.71</v>
      </c>
      <c r="C28" s="22">
        <v>1724.09</v>
      </c>
      <c r="D28" s="22">
        <v>1700.09</v>
      </c>
      <c r="E28" s="22">
        <v>1722.53</v>
      </c>
    </row>
    <row r="29" spans="1:5" x14ac:dyDescent="0.2">
      <c r="A29" s="21">
        <v>45939</v>
      </c>
      <c r="B29" s="22">
        <v>1714.78</v>
      </c>
      <c r="C29" s="22">
        <v>1720.51</v>
      </c>
      <c r="D29" s="22">
        <v>1692.03</v>
      </c>
      <c r="E29" s="22">
        <v>1693.33</v>
      </c>
    </row>
    <row r="30" spans="1:5" x14ac:dyDescent="0.2">
      <c r="A30" s="21">
        <v>45940</v>
      </c>
      <c r="B30" s="22">
        <v>1698.15</v>
      </c>
      <c r="C30" s="22">
        <v>1701.96</v>
      </c>
      <c r="D30" s="22">
        <v>1675.88</v>
      </c>
      <c r="E30" s="22">
        <v>1683.92</v>
      </c>
    </row>
    <row r="31" spans="1:5" x14ac:dyDescent="0.2">
      <c r="A31" s="21">
        <v>45943</v>
      </c>
      <c r="B31" s="22">
        <v>1690.65</v>
      </c>
      <c r="C31" s="22">
        <v>1694.96</v>
      </c>
      <c r="D31" s="22">
        <v>1675.43</v>
      </c>
      <c r="E31" s="22">
        <v>1686.85</v>
      </c>
    </row>
    <row r="32" spans="1:5" x14ac:dyDescent="0.2">
      <c r="A32" s="21">
        <v>45944</v>
      </c>
      <c r="B32" s="22">
        <v>1682.27</v>
      </c>
      <c r="C32" s="22">
        <v>1684.06</v>
      </c>
      <c r="D32" s="22">
        <v>1652.96</v>
      </c>
      <c r="E32" s="22">
        <v>1670.95</v>
      </c>
    </row>
    <row r="33" spans="1:5" x14ac:dyDescent="0.2">
      <c r="A33" s="21">
        <v>45945</v>
      </c>
      <c r="B33" s="22">
        <v>1678.45</v>
      </c>
      <c r="C33" s="22">
        <v>1678.66</v>
      </c>
      <c r="D33" s="22">
        <v>1619.53</v>
      </c>
      <c r="E33" s="22">
        <v>1626.96</v>
      </c>
    </row>
    <row r="34" spans="1:5" x14ac:dyDescent="0.2">
      <c r="A34" s="21">
        <v>45946</v>
      </c>
      <c r="B34" s="22">
        <v>1613.49</v>
      </c>
      <c r="C34" s="22">
        <v>1646.73</v>
      </c>
      <c r="D34" s="22">
        <v>1595.72</v>
      </c>
      <c r="E34" s="22">
        <v>1605.02</v>
      </c>
    </row>
    <row r="35" spans="1:5" x14ac:dyDescent="0.2">
      <c r="A35" s="21">
        <v>45950</v>
      </c>
      <c r="B35" s="22">
        <v>1600.82</v>
      </c>
      <c r="C35" s="22">
        <v>1647.24</v>
      </c>
      <c r="D35" s="22">
        <v>1598.44</v>
      </c>
      <c r="E35" s="22">
        <v>1645.41</v>
      </c>
    </row>
    <row r="36" spans="1:5" x14ac:dyDescent="0.2">
      <c r="A36" s="21">
        <v>45951</v>
      </c>
      <c r="B36" s="22">
        <v>1642.14</v>
      </c>
      <c r="C36" s="22">
        <v>1643.64</v>
      </c>
      <c r="D36" s="22">
        <v>1624.05</v>
      </c>
      <c r="E36" s="22">
        <v>1638.78</v>
      </c>
    </row>
    <row r="37" spans="1:5" x14ac:dyDescent="0.2">
      <c r="A37" s="21">
        <v>45952</v>
      </c>
      <c r="B37" s="22">
        <v>1640.26</v>
      </c>
      <c r="C37" s="22">
        <v>1661.69</v>
      </c>
      <c r="D37" s="22">
        <v>1616.95</v>
      </c>
      <c r="E37" s="22">
        <v>1631.24</v>
      </c>
    </row>
    <row r="38" spans="1:5" x14ac:dyDescent="0.2">
      <c r="A38" s="21">
        <v>45953</v>
      </c>
      <c r="B38" s="22">
        <v>1643.02</v>
      </c>
      <c r="C38" s="22">
        <v>1649.2</v>
      </c>
      <c r="D38" s="22">
        <v>1632.04</v>
      </c>
      <c r="E38" s="22">
        <v>1645.9</v>
      </c>
    </row>
    <row r="39" spans="1:5" x14ac:dyDescent="0.2">
      <c r="A39" s="21">
        <v>45954</v>
      </c>
      <c r="B39" s="22">
        <v>1648.22</v>
      </c>
      <c r="C39" s="22">
        <v>1648.92</v>
      </c>
      <c r="D39" s="22">
        <v>1628.5</v>
      </c>
      <c r="E39" s="22">
        <v>1636.25</v>
      </c>
    </row>
    <row r="40" spans="1:5" x14ac:dyDescent="0.2">
      <c r="A40" s="21">
        <v>45957</v>
      </c>
      <c r="B40" s="22">
        <v>1642.81</v>
      </c>
      <c r="C40" s="22">
        <v>1643.06</v>
      </c>
      <c r="D40" s="22">
        <v>1612.34</v>
      </c>
      <c r="E40" s="22">
        <v>1622.33</v>
      </c>
    </row>
    <row r="41" spans="1:5" x14ac:dyDescent="0.2">
      <c r="A41" s="21">
        <v>45958</v>
      </c>
      <c r="B41" s="22">
        <v>1616.06</v>
      </c>
      <c r="C41" s="22">
        <v>1638.41</v>
      </c>
      <c r="D41" s="22">
        <v>1596.1</v>
      </c>
      <c r="E41" s="22">
        <v>1630.93</v>
      </c>
    </row>
    <row r="42" spans="1:5" x14ac:dyDescent="0.2">
      <c r="A42" s="21">
        <v>45959</v>
      </c>
      <c r="B42" s="22">
        <v>1635.65</v>
      </c>
      <c r="C42" s="22">
        <v>1640.19</v>
      </c>
      <c r="D42" s="22">
        <v>1623.52</v>
      </c>
      <c r="E42" s="22">
        <v>1627.57</v>
      </c>
    </row>
    <row r="43" spans="1:5" x14ac:dyDescent="0.2">
      <c r="A43" s="21">
        <v>45960</v>
      </c>
      <c r="B43" s="22">
        <v>1629.74</v>
      </c>
      <c r="C43" s="22">
        <v>1636.76</v>
      </c>
      <c r="D43" s="22">
        <v>1616.91</v>
      </c>
      <c r="E43" s="22">
        <v>1620.9</v>
      </c>
    </row>
    <row r="44" spans="1:5" x14ac:dyDescent="0.2">
      <c r="A44" s="21">
        <v>45964</v>
      </c>
      <c r="B44" s="22">
        <v>1627.34</v>
      </c>
      <c r="C44" s="22">
        <v>1661.3</v>
      </c>
      <c r="D44" s="22">
        <v>1622.17</v>
      </c>
      <c r="E44" s="22">
        <v>1660.86</v>
      </c>
    </row>
    <row r="45" spans="1:5" x14ac:dyDescent="0.2">
      <c r="A45" s="21">
        <v>45965</v>
      </c>
      <c r="B45" s="22">
        <v>1657.58</v>
      </c>
      <c r="C45" s="22">
        <v>1658.59</v>
      </c>
      <c r="D45" s="22">
        <v>1633.57</v>
      </c>
      <c r="E45" s="22">
        <v>1647.49</v>
      </c>
    </row>
    <row r="46" spans="1:5" x14ac:dyDescent="0.2">
      <c r="A46" s="21">
        <v>45966</v>
      </c>
      <c r="B46" s="22">
        <v>1644.34</v>
      </c>
      <c r="C46" s="22">
        <v>1653.14</v>
      </c>
      <c r="D46" s="22">
        <v>1628.81</v>
      </c>
      <c r="E46" s="22">
        <v>1638.03</v>
      </c>
    </row>
    <row r="47" spans="1:5" x14ac:dyDescent="0.2">
      <c r="A47" s="21">
        <v>45967</v>
      </c>
      <c r="B47" s="22">
        <v>1670.98</v>
      </c>
      <c r="C47" s="22">
        <v>1674.21</v>
      </c>
      <c r="D47" s="22">
        <v>1617.68</v>
      </c>
      <c r="E47" s="22">
        <v>1643.37</v>
      </c>
    </row>
    <row r="48" spans="1:5" x14ac:dyDescent="0.2">
      <c r="A48" s="21">
        <v>45968</v>
      </c>
      <c r="B48" s="22">
        <v>1642.99</v>
      </c>
      <c r="C48" s="22">
        <v>1664.59</v>
      </c>
      <c r="D48" s="22">
        <v>1630.37</v>
      </c>
      <c r="E48" s="22">
        <v>1661.52</v>
      </c>
    </row>
    <row r="49" spans="1:5" x14ac:dyDescent="0.2">
      <c r="A49" s="21">
        <v>45971</v>
      </c>
      <c r="B49" s="22">
        <v>1673.85</v>
      </c>
      <c r="C49" s="22">
        <v>1686.94</v>
      </c>
      <c r="D49" s="22">
        <v>1669.54</v>
      </c>
      <c r="E49" s="22">
        <v>1681.2</v>
      </c>
    </row>
    <row r="50" spans="1:5" x14ac:dyDescent="0.2">
      <c r="A50" s="21">
        <v>45972</v>
      </c>
      <c r="B50" s="22">
        <v>1681.88</v>
      </c>
      <c r="C50" s="22">
        <v>1682.27</v>
      </c>
      <c r="D50" s="22">
        <v>1641.45</v>
      </c>
      <c r="E50" s="22">
        <v>1655.11</v>
      </c>
    </row>
    <row r="51" spans="1:5" x14ac:dyDescent="0.2">
      <c r="A51" s="21">
        <v>45973</v>
      </c>
      <c r="B51" s="22">
        <v>1654.63</v>
      </c>
      <c r="C51" s="22">
        <v>1673.86</v>
      </c>
      <c r="D51" s="22">
        <v>1649.73</v>
      </c>
      <c r="E51" s="22">
        <v>1666.85</v>
      </c>
    </row>
    <row r="52" spans="1:5" x14ac:dyDescent="0.2">
      <c r="A52" s="21">
        <v>45974</v>
      </c>
      <c r="B52" s="22">
        <v>1666.13</v>
      </c>
      <c r="C52" s="22">
        <v>1685.98</v>
      </c>
      <c r="D52" s="22">
        <v>1658.02</v>
      </c>
      <c r="E52" s="22">
        <v>1673.65</v>
      </c>
    </row>
    <row r="53" spans="1:5" x14ac:dyDescent="0.2">
      <c r="A53" s="21">
        <v>45975</v>
      </c>
      <c r="B53" s="22">
        <v>1666.35</v>
      </c>
      <c r="C53" s="22">
        <v>1668.01</v>
      </c>
      <c r="D53" s="22">
        <v>1627.83</v>
      </c>
      <c r="E53" s="22">
        <v>1656.44</v>
      </c>
    </row>
    <row r="54" spans="1:5" x14ac:dyDescent="0.2">
      <c r="A54" s="21">
        <v>45978</v>
      </c>
      <c r="B54" s="22">
        <v>1667.97</v>
      </c>
      <c r="C54" s="22">
        <v>1676.37</v>
      </c>
      <c r="D54" s="22">
        <v>1653.93</v>
      </c>
      <c r="E54" s="22">
        <v>1658.34</v>
      </c>
    </row>
    <row r="55" spans="1:5" x14ac:dyDescent="0.2">
      <c r="A55" s="21">
        <v>45979</v>
      </c>
      <c r="B55" s="22">
        <v>1652.6</v>
      </c>
      <c r="C55" s="22">
        <v>1699.41</v>
      </c>
      <c r="D55" s="22">
        <v>1648.12</v>
      </c>
      <c r="E55" s="22">
        <v>1663.58</v>
      </c>
    </row>
    <row r="56" spans="1:5" x14ac:dyDescent="0.2">
      <c r="A56" s="21">
        <v>45980</v>
      </c>
      <c r="B56" s="22">
        <v>1667.53</v>
      </c>
      <c r="C56" s="22">
        <v>1673.81</v>
      </c>
      <c r="D56" s="22">
        <v>1578.66</v>
      </c>
      <c r="E56" s="22">
        <v>1598.9</v>
      </c>
    </row>
    <row r="57" spans="1:5" x14ac:dyDescent="0.2">
      <c r="A57" s="21">
        <v>45981</v>
      </c>
      <c r="B57" s="22">
        <v>1604.58</v>
      </c>
      <c r="C57" s="22">
        <v>1642.95</v>
      </c>
      <c r="D57" s="22">
        <v>1596.9</v>
      </c>
      <c r="E57" s="22">
        <v>1600.04</v>
      </c>
    </row>
    <row r="58" spans="1:5" x14ac:dyDescent="0.2">
      <c r="A58" s="21">
        <v>45982</v>
      </c>
      <c r="B58" s="22">
        <v>1606.98</v>
      </c>
      <c r="C58" s="22">
        <v>1612.51</v>
      </c>
      <c r="D58" s="22">
        <v>1519.79</v>
      </c>
      <c r="E58" s="22">
        <v>1521.95</v>
      </c>
    </row>
    <row r="59" spans="1:5" x14ac:dyDescent="0.2">
      <c r="A59" s="21">
        <v>45985</v>
      </c>
      <c r="B59" s="22">
        <v>1504.11</v>
      </c>
      <c r="C59" s="22">
        <v>1516.79</v>
      </c>
      <c r="D59" s="22">
        <v>1394.84</v>
      </c>
      <c r="E59" s="22">
        <v>1446.9</v>
      </c>
    </row>
    <row r="60" spans="1:5" x14ac:dyDescent="0.2">
      <c r="A60" s="21">
        <v>45986</v>
      </c>
      <c r="B60" s="22">
        <v>1504.31</v>
      </c>
      <c r="C60" s="22">
        <v>1509.75</v>
      </c>
      <c r="D60" s="22">
        <v>1470.88</v>
      </c>
      <c r="E60" s="22">
        <v>1501.94</v>
      </c>
    </row>
    <row r="61" spans="1:5" x14ac:dyDescent="0.2">
      <c r="A61" s="21">
        <v>45987</v>
      </c>
      <c r="B61" s="22">
        <v>1527.93</v>
      </c>
      <c r="C61" s="22">
        <v>1532.32</v>
      </c>
      <c r="D61" s="22">
        <v>1500.42</v>
      </c>
      <c r="E61" s="22">
        <v>1526.44</v>
      </c>
    </row>
    <row r="62" spans="1:5" x14ac:dyDescent="0.2">
      <c r="A62" s="21">
        <v>45988</v>
      </c>
      <c r="B62" s="22">
        <v>1533.87</v>
      </c>
      <c r="C62" s="22">
        <v>1555.13</v>
      </c>
      <c r="D62" s="22">
        <v>1523.35</v>
      </c>
      <c r="E62" s="22">
        <v>1546.01</v>
      </c>
    </row>
    <row r="63" spans="1:5" x14ac:dyDescent="0.2">
      <c r="A63" s="21">
        <v>45989</v>
      </c>
      <c r="B63" s="22">
        <v>1547.95</v>
      </c>
      <c r="C63" s="22">
        <v>1550.73</v>
      </c>
      <c r="D63" s="22">
        <v>1498.28</v>
      </c>
      <c r="E63" s="22">
        <v>1506.66</v>
      </c>
    </row>
    <row r="64" spans="1:5" x14ac:dyDescent="0.2">
      <c r="A64" s="21">
        <v>45992</v>
      </c>
      <c r="B64" s="22">
        <v>1487.38</v>
      </c>
      <c r="C64" s="22">
        <v>1509.4</v>
      </c>
      <c r="D64" s="22">
        <v>1461.43</v>
      </c>
      <c r="E64" s="22">
        <v>1490</v>
      </c>
    </row>
    <row r="65" spans="1:5" x14ac:dyDescent="0.2">
      <c r="A65" s="21">
        <v>45993</v>
      </c>
      <c r="B65" s="22">
        <v>1502.11</v>
      </c>
      <c r="C65" s="22">
        <v>1543.77</v>
      </c>
      <c r="D65" s="22">
        <v>1479.04</v>
      </c>
      <c r="E65" s="22">
        <v>1533.41</v>
      </c>
    </row>
    <row r="66" spans="1:5" x14ac:dyDescent="0.2">
      <c r="A66" s="21">
        <v>45994</v>
      </c>
      <c r="B66" s="22">
        <v>1559.89</v>
      </c>
      <c r="C66" s="22">
        <v>1570.16</v>
      </c>
      <c r="D66" s="22">
        <v>1537.95</v>
      </c>
      <c r="E66" s="22">
        <v>1558.81</v>
      </c>
    </row>
    <row r="67" spans="1:5" x14ac:dyDescent="0.2">
      <c r="A67" s="21">
        <v>45995</v>
      </c>
      <c r="B67" s="22">
        <v>1565.52</v>
      </c>
      <c r="C67" s="22">
        <v>1566.49</v>
      </c>
      <c r="D67" s="22">
        <v>1544.93</v>
      </c>
      <c r="E67" s="22">
        <v>1563.18</v>
      </c>
    </row>
    <row r="68" spans="1:5" x14ac:dyDescent="0.2">
      <c r="A68" s="21">
        <v>45996</v>
      </c>
      <c r="B68" s="22">
        <v>1564.75</v>
      </c>
      <c r="C68" s="22">
        <v>1581.18</v>
      </c>
      <c r="D68" s="22">
        <v>1547.2</v>
      </c>
      <c r="E68" s="22">
        <v>1561.9</v>
      </c>
    </row>
    <row r="69" spans="1:5" x14ac:dyDescent="0.2">
      <c r="A69" s="21">
        <v>45999</v>
      </c>
      <c r="B69" s="22">
        <v>1569.1</v>
      </c>
      <c r="C69" s="22">
        <v>1629.38</v>
      </c>
      <c r="D69" s="22">
        <v>1567.95</v>
      </c>
      <c r="E69" s="22">
        <v>1625.5</v>
      </c>
    </row>
    <row r="70" spans="1:5" x14ac:dyDescent="0.2">
      <c r="A70" s="21">
        <v>46000</v>
      </c>
      <c r="B70" s="22">
        <v>1645.59</v>
      </c>
      <c r="C70" s="22">
        <v>1656.19</v>
      </c>
      <c r="D70" s="22">
        <v>1625.4</v>
      </c>
      <c r="E70" s="22">
        <v>1646.4</v>
      </c>
    </row>
    <row r="71" spans="1:5" x14ac:dyDescent="0.2">
      <c r="A71" s="21">
        <v>46001</v>
      </c>
      <c r="B71" s="22">
        <v>1640.17</v>
      </c>
      <c r="C71" s="22">
        <v>1645.67</v>
      </c>
      <c r="D71" s="22">
        <v>1598.72</v>
      </c>
      <c r="E71" s="22">
        <v>1624.96</v>
      </c>
    </row>
    <row r="72" spans="1:5" x14ac:dyDescent="0.2">
      <c r="A72" s="21">
        <v>46002</v>
      </c>
      <c r="B72" s="22">
        <v>1629.14</v>
      </c>
      <c r="C72" s="22">
        <v>1645.87</v>
      </c>
      <c r="D72" s="22">
        <v>1617.16</v>
      </c>
      <c r="E72" s="22">
        <v>1624</v>
      </c>
    </row>
    <row r="73" spans="1:5" x14ac:dyDescent="0.2">
      <c r="A73" s="21">
        <v>46003</v>
      </c>
      <c r="B73" s="22">
        <v>1621.54</v>
      </c>
      <c r="C73" s="22">
        <v>1642.79</v>
      </c>
      <c r="D73" s="22">
        <v>1620.91</v>
      </c>
      <c r="E73" s="22">
        <v>1632.55</v>
      </c>
    </row>
    <row r="74" spans="1:5" x14ac:dyDescent="0.2">
      <c r="A74" s="21">
        <v>46006</v>
      </c>
      <c r="B74" s="22">
        <v>1613.64</v>
      </c>
      <c r="C74" s="22">
        <v>1622.63</v>
      </c>
      <c r="D74" s="22">
        <v>1566.14</v>
      </c>
      <c r="E74" s="22">
        <v>1571.76</v>
      </c>
    </row>
    <row r="75" spans="1:5" x14ac:dyDescent="0.2">
      <c r="A75" s="21">
        <v>46007</v>
      </c>
      <c r="B75" s="22">
        <v>1544.46</v>
      </c>
      <c r="C75" s="22">
        <v>1569.94</v>
      </c>
      <c r="D75" s="22">
        <v>1528.27</v>
      </c>
      <c r="E75" s="22">
        <v>1546.92</v>
      </c>
    </row>
    <row r="76" spans="1:5" x14ac:dyDescent="0.2">
      <c r="A76" s="21">
        <v>46008</v>
      </c>
      <c r="B76" s="22">
        <v>1565.79</v>
      </c>
      <c r="C76" s="22">
        <v>1584.27</v>
      </c>
      <c r="D76" s="22">
        <v>1558.33</v>
      </c>
      <c r="E76" s="22">
        <v>1577.37</v>
      </c>
    </row>
    <row r="77" spans="1:5" x14ac:dyDescent="0.2">
      <c r="A77" s="21">
        <v>46009</v>
      </c>
      <c r="B77" s="22">
        <v>1583.04</v>
      </c>
      <c r="C77" s="22">
        <v>1595.62</v>
      </c>
      <c r="D77" s="22">
        <v>1558.45</v>
      </c>
      <c r="E77" s="22">
        <v>1579.68</v>
      </c>
    </row>
    <row r="78" spans="1:5" x14ac:dyDescent="0.2">
      <c r="A78" s="21">
        <v>46010</v>
      </c>
      <c r="B78" s="22">
        <v>1591.17</v>
      </c>
      <c r="C78" s="22">
        <v>1598.06</v>
      </c>
      <c r="D78" s="22">
        <v>1576.33</v>
      </c>
      <c r="E78" s="22">
        <v>1590.22</v>
      </c>
    </row>
    <row r="79" spans="1:5" x14ac:dyDescent="0.2">
      <c r="A79" s="21">
        <v>46013</v>
      </c>
      <c r="B79" s="22">
        <v>1585.33</v>
      </c>
      <c r="C79" s="22">
        <v>1596.26</v>
      </c>
      <c r="D79" s="22">
        <v>1579.12</v>
      </c>
      <c r="E79" s="22">
        <v>1581.49</v>
      </c>
    </row>
    <row r="80" spans="1:5" x14ac:dyDescent="0.2">
      <c r="A80" s="21">
        <v>46014</v>
      </c>
      <c r="B80" s="22">
        <v>1582.06</v>
      </c>
      <c r="C80" s="22">
        <v>1592.96</v>
      </c>
      <c r="D80" s="22">
        <v>1568.95</v>
      </c>
      <c r="E80" s="22">
        <v>1580.77</v>
      </c>
    </row>
    <row r="81" spans="1:5" x14ac:dyDescent="0.2">
      <c r="A81" s="21">
        <v>46020</v>
      </c>
      <c r="B81" s="22">
        <v>1567.23</v>
      </c>
      <c r="C81" s="22">
        <v>1576.59</v>
      </c>
      <c r="D81" s="22">
        <v>1544.79</v>
      </c>
      <c r="E81" s="22">
        <v>1566.67</v>
      </c>
    </row>
    <row r="82" spans="1:5" x14ac:dyDescent="0.2">
      <c r="A82" s="21">
        <v>46021</v>
      </c>
      <c r="B82" s="22">
        <v>1580.49</v>
      </c>
      <c r="C82" s="22">
        <v>1598.61</v>
      </c>
      <c r="D82" s="22">
        <v>1576.49</v>
      </c>
      <c r="E82" s="22">
        <v>1592.96</v>
      </c>
    </row>
    <row r="83" spans="1:5" x14ac:dyDescent="0.2">
      <c r="A83" s="21">
        <v>46024</v>
      </c>
      <c r="B83" s="22">
        <v>1606.3</v>
      </c>
      <c r="C83" s="22">
        <v>1627.31</v>
      </c>
      <c r="D83" s="22">
        <v>1598.6</v>
      </c>
      <c r="E83" s="22">
        <v>1627.15</v>
      </c>
    </row>
    <row r="84" spans="1:5" x14ac:dyDescent="0.2">
      <c r="A84" s="21">
        <v>46027</v>
      </c>
      <c r="B84" s="22">
        <v>1659.12</v>
      </c>
      <c r="C84" s="22">
        <v>1694.55</v>
      </c>
      <c r="D84" s="22">
        <v>1655.12</v>
      </c>
      <c r="E84" s="22">
        <v>1682.59</v>
      </c>
    </row>
    <row r="85" spans="1:5" x14ac:dyDescent="0.2">
      <c r="A85" s="21">
        <v>46028</v>
      </c>
      <c r="B85" s="22">
        <v>1696.01</v>
      </c>
      <c r="C85" s="22">
        <v>1701.1</v>
      </c>
      <c r="D85" s="22">
        <v>1671.05</v>
      </c>
      <c r="E85" s="22">
        <v>1678.95</v>
      </c>
    </row>
    <row r="86" spans="1:5" x14ac:dyDescent="0.2">
      <c r="A86" s="21">
        <v>46029</v>
      </c>
      <c r="B86" s="22">
        <v>1680</v>
      </c>
      <c r="C86" s="22">
        <v>1710.3</v>
      </c>
      <c r="D86" s="22">
        <v>1669.54</v>
      </c>
      <c r="E86" s="22">
        <v>1703.56</v>
      </c>
    </row>
    <row r="87" spans="1:5" x14ac:dyDescent="0.2">
      <c r="A87" s="21">
        <v>46030</v>
      </c>
      <c r="B87" s="22">
        <v>1718.18</v>
      </c>
      <c r="C87" s="22">
        <v>1738.65</v>
      </c>
      <c r="D87" s="22">
        <v>1704.92</v>
      </c>
      <c r="E87" s="22">
        <v>1723.27</v>
      </c>
    </row>
    <row r="88" spans="1:5" x14ac:dyDescent="0.2">
      <c r="A88" s="21">
        <v>46031</v>
      </c>
      <c r="B88" s="22">
        <v>1719.49</v>
      </c>
      <c r="C88" s="22">
        <v>1728.91</v>
      </c>
      <c r="D88" s="22">
        <v>1711.95</v>
      </c>
      <c r="E88" s="22">
        <v>1726.84</v>
      </c>
    </row>
    <row r="89" spans="1:5" x14ac:dyDescent="0.2">
      <c r="A89" s="21">
        <v>46034</v>
      </c>
      <c r="B89" s="22">
        <v>1735.42</v>
      </c>
      <c r="C89" s="22">
        <v>1742.61</v>
      </c>
      <c r="D89" s="22">
        <v>1715.32</v>
      </c>
      <c r="E89" s="22">
        <v>1728.52</v>
      </c>
    </row>
    <row r="90" spans="1:5" x14ac:dyDescent="0.2">
      <c r="A90" s="21">
        <v>46035</v>
      </c>
      <c r="B90" s="22">
        <v>1724.31</v>
      </c>
      <c r="C90" s="22">
        <v>1731.11</v>
      </c>
      <c r="D90" s="22">
        <v>1715.66</v>
      </c>
      <c r="E90" s="22">
        <v>1728.95</v>
      </c>
    </row>
    <row r="91" spans="1:5" x14ac:dyDescent="0.2">
      <c r="A91" s="21">
        <v>46036</v>
      </c>
      <c r="B91" s="22">
        <v>1728.53</v>
      </c>
      <c r="C91" s="22">
        <v>1730.83</v>
      </c>
      <c r="D91" s="22">
        <v>1703.08</v>
      </c>
      <c r="E91" s="22">
        <v>1711.14</v>
      </c>
    </row>
    <row r="92" spans="1:5" x14ac:dyDescent="0.2">
      <c r="A92" s="21">
        <v>46037</v>
      </c>
      <c r="B92" s="22">
        <v>1706.74</v>
      </c>
      <c r="C92" s="22">
        <v>1722.39</v>
      </c>
      <c r="D92" s="22">
        <v>1705.46</v>
      </c>
      <c r="E92" s="22">
        <v>1719.37</v>
      </c>
    </row>
    <row r="93" spans="1:5" x14ac:dyDescent="0.2">
      <c r="A93" s="21">
        <v>46038</v>
      </c>
      <c r="B93" s="22">
        <v>1720.96</v>
      </c>
      <c r="C93" s="22">
        <v>1727.92</v>
      </c>
      <c r="D93" s="22">
        <v>1712.95</v>
      </c>
      <c r="E93" s="22">
        <v>1716.97</v>
      </c>
    </row>
    <row r="94" spans="1:5" x14ac:dyDescent="0.2">
      <c r="A94" s="21">
        <v>46041</v>
      </c>
      <c r="B94" s="22">
        <v>1723.32</v>
      </c>
      <c r="C94" s="22">
        <v>1742.12</v>
      </c>
      <c r="D94" s="22">
        <v>1716.69</v>
      </c>
      <c r="E94" s="22">
        <v>1728.87</v>
      </c>
    </row>
    <row r="95" spans="1:5" x14ac:dyDescent="0.2">
      <c r="A95" s="21">
        <v>46042</v>
      </c>
      <c r="B95" s="22">
        <v>1731.32</v>
      </c>
      <c r="C95" s="22">
        <v>1733.78</v>
      </c>
      <c r="D95" s="22">
        <v>1706.99</v>
      </c>
      <c r="E95" s="22">
        <v>1716.26</v>
      </c>
    </row>
    <row r="96" spans="1:5" x14ac:dyDescent="0.2">
      <c r="A96" s="21">
        <v>46043</v>
      </c>
      <c r="B96" s="22">
        <v>1722.14</v>
      </c>
      <c r="C96" s="22">
        <v>1724.84</v>
      </c>
      <c r="D96" s="22">
        <v>1694.99</v>
      </c>
      <c r="E96" s="22">
        <v>1699.5</v>
      </c>
    </row>
    <row r="97" spans="1:5" x14ac:dyDescent="0.2">
      <c r="A97" s="21">
        <v>46044</v>
      </c>
      <c r="B97" s="22">
        <v>1695.3</v>
      </c>
      <c r="C97" s="22">
        <v>1696.61</v>
      </c>
      <c r="D97" s="22">
        <v>1658.71</v>
      </c>
      <c r="E97" s="22">
        <v>1663.36</v>
      </c>
    </row>
    <row r="98" spans="1:5" x14ac:dyDescent="0.2">
      <c r="A98" s="21">
        <v>46045</v>
      </c>
      <c r="B98" s="22">
        <v>1648.62</v>
      </c>
      <c r="C98" s="22">
        <v>1695</v>
      </c>
      <c r="D98" s="22">
        <v>1646.29</v>
      </c>
      <c r="E98" s="22">
        <v>1688.19</v>
      </c>
    </row>
    <row r="99" spans="1:5" x14ac:dyDescent="0.2">
      <c r="A99" s="21">
        <v>46048</v>
      </c>
      <c r="B99" s="22">
        <v>1706.4</v>
      </c>
      <c r="C99" s="22">
        <v>1709.64</v>
      </c>
      <c r="D99" s="22">
        <v>1662.88</v>
      </c>
      <c r="E99" s="22">
        <v>1674.47</v>
      </c>
    </row>
    <row r="100" spans="1:5" x14ac:dyDescent="0.2">
      <c r="A100" s="21">
        <v>46049</v>
      </c>
      <c r="B100" s="22">
        <v>1671.9</v>
      </c>
      <c r="C100" s="22">
        <v>1703.25</v>
      </c>
      <c r="D100" s="22">
        <v>1668.89</v>
      </c>
      <c r="E100" s="22">
        <v>1702.69</v>
      </c>
    </row>
    <row r="101" spans="1:5" x14ac:dyDescent="0.2">
      <c r="A101" s="21">
        <v>46050</v>
      </c>
      <c r="B101" s="22">
        <v>1705.05</v>
      </c>
      <c r="C101" s="22">
        <v>1714.4</v>
      </c>
      <c r="D101" s="22">
        <v>1696.68</v>
      </c>
      <c r="E101" s="22">
        <v>1708.35</v>
      </c>
    </row>
    <row r="102" spans="1:5" x14ac:dyDescent="0.2">
      <c r="A102" s="21">
        <v>46051</v>
      </c>
      <c r="B102" s="22">
        <v>1706.56</v>
      </c>
      <c r="C102" s="22">
        <v>1707.17</v>
      </c>
      <c r="D102" s="22">
        <v>1682.25</v>
      </c>
      <c r="E102" s="22">
        <v>1691.65</v>
      </c>
    </row>
    <row r="103" spans="1:5" x14ac:dyDescent="0.2">
      <c r="A103" s="21">
        <v>46052</v>
      </c>
      <c r="B103" s="22">
        <v>1679.46</v>
      </c>
      <c r="C103" s="22">
        <v>1691.22</v>
      </c>
      <c r="D103" s="22">
        <v>1670.81</v>
      </c>
      <c r="E103" s="22">
        <v>1678.54</v>
      </c>
    </row>
    <row r="104" spans="1:5" x14ac:dyDescent="0.2">
      <c r="A104" s="21">
        <v>46055</v>
      </c>
      <c r="B104" s="22">
        <v>1671.57</v>
      </c>
      <c r="C104" s="22">
        <v>1676.64</v>
      </c>
      <c r="D104" s="22">
        <v>1652.02</v>
      </c>
      <c r="E104" s="22">
        <v>1658.37</v>
      </c>
    </row>
    <row r="105" spans="1:5" x14ac:dyDescent="0.2">
      <c r="A105" s="21">
        <v>46056</v>
      </c>
      <c r="B105" s="22">
        <v>1665.87</v>
      </c>
      <c r="C105" s="22">
        <v>1681.33</v>
      </c>
      <c r="D105" s="22">
        <v>1657.24</v>
      </c>
      <c r="E105" s="22">
        <v>1670.9</v>
      </c>
    </row>
    <row r="106" spans="1:5" x14ac:dyDescent="0.2">
      <c r="A106" s="21">
        <v>46057</v>
      </c>
      <c r="B106" s="22">
        <v>1670.72</v>
      </c>
      <c r="C106" s="22">
        <v>1673.25</v>
      </c>
      <c r="D106" s="22">
        <v>1608.55</v>
      </c>
      <c r="E106" s="22">
        <v>1622.17</v>
      </c>
    </row>
    <row r="107" spans="1:5" x14ac:dyDescent="0.2">
      <c r="A107" s="21">
        <v>46058</v>
      </c>
      <c r="B107" s="22">
        <v>1584.71</v>
      </c>
      <c r="C107" s="22">
        <v>1594.33</v>
      </c>
      <c r="D107" s="22">
        <v>1527.52</v>
      </c>
      <c r="E107" s="22">
        <v>1572.77</v>
      </c>
    </row>
    <row r="108" spans="1:5" x14ac:dyDescent="0.2">
      <c r="A108" s="21">
        <v>46059</v>
      </c>
      <c r="B108" s="22">
        <v>1568.22</v>
      </c>
      <c r="C108" s="22">
        <v>1608.18</v>
      </c>
      <c r="D108" s="22">
        <v>1557.72</v>
      </c>
      <c r="E108" s="22">
        <v>1587.43</v>
      </c>
    </row>
    <row r="109" spans="1:5" x14ac:dyDescent="0.2">
      <c r="A109" s="21">
        <v>46062</v>
      </c>
      <c r="B109" s="22">
        <v>1607.13</v>
      </c>
      <c r="C109" s="22">
        <v>1620</v>
      </c>
      <c r="D109" s="22">
        <v>1599.21</v>
      </c>
      <c r="E109" s="22">
        <v>1618.44</v>
      </c>
    </row>
    <row r="110" spans="1:5" x14ac:dyDescent="0.2">
      <c r="A110" s="21">
        <v>46063</v>
      </c>
      <c r="B110" s="22">
        <v>1620.63</v>
      </c>
      <c r="C110" s="22">
        <v>1620.73</v>
      </c>
      <c r="D110" s="22">
        <v>1599.72</v>
      </c>
      <c r="E110" s="22">
        <v>1604.69</v>
      </c>
    </row>
    <row r="111" spans="1:5" x14ac:dyDescent="0.2">
      <c r="A111" s="21">
        <v>46064</v>
      </c>
      <c r="B111" s="22">
        <v>1590.6</v>
      </c>
      <c r="C111" s="22">
        <v>1596.84</v>
      </c>
      <c r="D111" s="22">
        <v>1563.95</v>
      </c>
      <c r="E111" s="22">
        <v>1584.64</v>
      </c>
    </row>
    <row r="112" spans="1:5" x14ac:dyDescent="0.2">
      <c r="A112" s="21">
        <v>46065</v>
      </c>
      <c r="B112" s="22">
        <v>1591.77</v>
      </c>
      <c r="C112" s="22">
        <v>1593.31</v>
      </c>
      <c r="D112" s="22">
        <v>1568.61</v>
      </c>
      <c r="E112" s="22">
        <v>1577.23</v>
      </c>
    </row>
    <row r="113" spans="1:5" x14ac:dyDescent="0.2">
      <c r="A113" s="21">
        <v>46066</v>
      </c>
      <c r="B113" s="22">
        <v>1565.03</v>
      </c>
      <c r="C113" s="22">
        <v>1609.73</v>
      </c>
      <c r="D113" s="22">
        <v>1564.98</v>
      </c>
      <c r="E113" s="22">
        <v>1594.51</v>
      </c>
    </row>
    <row r="114" spans="1:5" x14ac:dyDescent="0.2">
      <c r="A114" s="21">
        <v>46069</v>
      </c>
      <c r="B114" s="22">
        <v>1598.89</v>
      </c>
      <c r="C114" s="22">
        <v>1607.66</v>
      </c>
      <c r="D114" s="22">
        <v>1593.34</v>
      </c>
      <c r="E114" s="22">
        <v>1605.45</v>
      </c>
    </row>
    <row r="115" spans="1:5" x14ac:dyDescent="0.2">
      <c r="A115" s="21">
        <v>46070</v>
      </c>
      <c r="B115" s="22">
        <v>1602.91</v>
      </c>
      <c r="C115" s="22">
        <v>1603.46</v>
      </c>
      <c r="D115" s="22">
        <v>1569.84</v>
      </c>
      <c r="E115" s="22">
        <v>1593.22</v>
      </c>
    </row>
    <row r="116" spans="1:5" x14ac:dyDescent="0.2">
      <c r="A116" s="21">
        <v>46071</v>
      </c>
      <c r="B116" s="22">
        <v>1607.77</v>
      </c>
      <c r="C116" s="22">
        <v>1649.35</v>
      </c>
      <c r="D116" s="22">
        <v>1598.93</v>
      </c>
      <c r="E116" s="22">
        <v>1646.53</v>
      </c>
    </row>
    <row r="117" spans="1:5" x14ac:dyDescent="0.2">
      <c r="A117" s="21">
        <v>46072</v>
      </c>
      <c r="B117" s="22">
        <v>1654.91</v>
      </c>
      <c r="C117" s="22">
        <v>1675.62</v>
      </c>
      <c r="D117" s="22">
        <v>1646.83</v>
      </c>
      <c r="E117" s="22">
        <v>1670.44</v>
      </c>
    </row>
    <row r="118" spans="1:5" x14ac:dyDescent="0.2">
      <c r="A118" s="21">
        <v>46073</v>
      </c>
      <c r="B118" s="22">
        <v>1680.71</v>
      </c>
      <c r="C118" s="22">
        <v>1683.29</v>
      </c>
      <c r="D118" s="22">
        <v>1662.34</v>
      </c>
      <c r="E118" s="22">
        <v>1669.86</v>
      </c>
    </row>
    <row r="119" spans="1:5" x14ac:dyDescent="0.2">
      <c r="A119" s="21">
        <v>46076</v>
      </c>
      <c r="B119" s="22">
        <v>1666.34</v>
      </c>
      <c r="C119" s="22">
        <v>1667.87</v>
      </c>
      <c r="D119" s="22">
        <v>1642.72</v>
      </c>
      <c r="E119" s="22">
        <v>1648.95</v>
      </c>
    </row>
    <row r="120" spans="1:5" x14ac:dyDescent="0.2">
      <c r="A120" s="21">
        <v>46077</v>
      </c>
      <c r="B120" s="22">
        <v>1656.62</v>
      </c>
      <c r="C120" s="22">
        <v>1666.57</v>
      </c>
      <c r="D120" s="22">
        <v>1647.97</v>
      </c>
      <c r="E120" s="22">
        <v>1661.76</v>
      </c>
    </row>
    <row r="121" spans="1:5" x14ac:dyDescent="0.2">
      <c r="A121" s="21">
        <v>46078</v>
      </c>
      <c r="B121" s="22">
        <v>1657.36</v>
      </c>
      <c r="C121" s="22">
        <v>1661.43</v>
      </c>
      <c r="D121" s="22">
        <v>1618.74</v>
      </c>
      <c r="E121" s="22">
        <v>1638.25</v>
      </c>
    </row>
    <row r="122" spans="1:5" x14ac:dyDescent="0.2">
      <c r="A122" s="21">
        <v>46079</v>
      </c>
      <c r="B122" s="22">
        <v>1627.44</v>
      </c>
      <c r="C122" s="22">
        <v>1640.64</v>
      </c>
      <c r="D122" s="22">
        <v>1612.71</v>
      </c>
      <c r="E122" s="22">
        <v>1633.3</v>
      </c>
    </row>
    <row r="123" spans="1:5" x14ac:dyDescent="0.2">
      <c r="A123" s="21">
        <v>46080</v>
      </c>
      <c r="B123" s="22">
        <v>1624.91</v>
      </c>
      <c r="C123" s="22">
        <v>1643.95</v>
      </c>
      <c r="D123" s="22">
        <v>1623.44</v>
      </c>
      <c r="E123" s="22">
        <v>1628.7</v>
      </c>
    </row>
    <row r="124" spans="1:5" x14ac:dyDescent="0.2">
      <c r="A124" s="21">
        <v>46083</v>
      </c>
      <c r="B124" s="22">
        <v>1685.98</v>
      </c>
      <c r="C124" s="22">
        <v>1685.98</v>
      </c>
      <c r="D124" s="22">
        <v>1602.38</v>
      </c>
      <c r="E124" s="22">
        <v>1616.57</v>
      </c>
    </row>
    <row r="125" spans="1:5" x14ac:dyDescent="0.2">
      <c r="A125" s="21">
        <v>46084</v>
      </c>
      <c r="B125" s="22">
        <v>1606.4</v>
      </c>
      <c r="C125" s="22">
        <v>1611.62</v>
      </c>
      <c r="D125" s="22">
        <v>1570.6</v>
      </c>
      <c r="E125" s="22">
        <v>1581.01</v>
      </c>
    </row>
    <row r="126" spans="1:5" x14ac:dyDescent="0.2">
      <c r="A126" s="21">
        <v>46085</v>
      </c>
      <c r="B126" s="22">
        <v>1573.91</v>
      </c>
      <c r="C126" s="22">
        <v>1612.43</v>
      </c>
      <c r="D126" s="22">
        <v>1563.94</v>
      </c>
      <c r="E126" s="22">
        <v>1609.58</v>
      </c>
    </row>
    <row r="127" spans="1:5" x14ac:dyDescent="0.2">
      <c r="A127" s="21">
        <v>46086</v>
      </c>
      <c r="B127" s="22">
        <v>1609.09</v>
      </c>
      <c r="C127" s="22">
        <v>1621.85</v>
      </c>
      <c r="D127" s="22">
        <v>1536.56</v>
      </c>
      <c r="E127" s="22">
        <v>1552.67</v>
      </c>
    </row>
    <row r="128" spans="1:5" x14ac:dyDescent="0.2">
      <c r="A128" s="21">
        <v>46087</v>
      </c>
      <c r="B128" s="22">
        <v>1559.86</v>
      </c>
      <c r="C128" s="22">
        <v>1582.9</v>
      </c>
      <c r="D128" s="22">
        <v>1558.74</v>
      </c>
      <c r="E128" s="22">
        <v>1574.43</v>
      </c>
    </row>
    <row r="129" spans="1:5" x14ac:dyDescent="0.2">
      <c r="A129" s="21">
        <v>46090</v>
      </c>
      <c r="B129" s="22">
        <v>1566.07</v>
      </c>
      <c r="C129" s="22">
        <v>1606.61</v>
      </c>
      <c r="D129" s="22">
        <v>1547.65</v>
      </c>
      <c r="E129" s="22">
        <v>1595.58</v>
      </c>
    </row>
    <row r="130" spans="1:5" x14ac:dyDescent="0.2">
      <c r="A130" s="21">
        <v>46091</v>
      </c>
      <c r="B130" s="22">
        <v>1607.61</v>
      </c>
      <c r="C130" s="22">
        <v>1623.09</v>
      </c>
      <c r="D130" s="22">
        <v>1585.65</v>
      </c>
      <c r="E130" s="22">
        <v>1605.42</v>
      </c>
    </row>
    <row r="131" spans="1:5" x14ac:dyDescent="0.2">
      <c r="A131" s="21">
        <v>46092</v>
      </c>
      <c r="B131" s="22">
        <v>1604.68</v>
      </c>
      <c r="C131" s="22">
        <v>1622.31</v>
      </c>
      <c r="D131" s="22">
        <v>1525.25</v>
      </c>
      <c r="E131" s="22">
        <v>1548.02</v>
      </c>
    </row>
    <row r="132" spans="1:5" x14ac:dyDescent="0.2">
      <c r="A132" s="21">
        <v>46093</v>
      </c>
      <c r="B132" s="22">
        <v>1548.52</v>
      </c>
      <c r="C132" s="22">
        <v>1581.65</v>
      </c>
      <c r="D132" s="22">
        <v>1547.94</v>
      </c>
      <c r="E132" s="22">
        <v>1559.15</v>
      </c>
    </row>
    <row r="133" spans="1:5" x14ac:dyDescent="0.2">
      <c r="A133" s="21">
        <v>46094</v>
      </c>
      <c r="B133" s="22">
        <v>1566.78</v>
      </c>
      <c r="C133" s="22">
        <v>1604.45</v>
      </c>
      <c r="D133" s="22">
        <v>1560.48</v>
      </c>
      <c r="E133" s="22">
        <v>1584.92</v>
      </c>
    </row>
    <row r="134" spans="1:5" x14ac:dyDescent="0.2">
      <c r="A134" s="21">
        <v>46097</v>
      </c>
      <c r="B134" s="22">
        <v>1607.17</v>
      </c>
      <c r="C134" s="22">
        <v>1624.85</v>
      </c>
      <c r="D134" s="22">
        <v>1593.92</v>
      </c>
      <c r="E134" s="22">
        <v>1608.48</v>
      </c>
    </row>
    <row r="135" spans="1:5" x14ac:dyDescent="0.2">
      <c r="A135" s="21">
        <v>46098</v>
      </c>
      <c r="B135" s="22">
        <v>1608.41</v>
      </c>
      <c r="C135" s="22">
        <v>1612.64</v>
      </c>
      <c r="D135" s="22">
        <v>1576.87</v>
      </c>
      <c r="E135" s="22">
        <v>1606.84</v>
      </c>
    </row>
    <row r="136" spans="1:5" x14ac:dyDescent="0.2">
      <c r="A136" s="21">
        <v>46099</v>
      </c>
      <c r="B136" s="22">
        <v>1613.7</v>
      </c>
      <c r="C136" s="22">
        <v>1624.68</v>
      </c>
      <c r="D136" s="22">
        <v>1590.87</v>
      </c>
      <c r="E136" s="22">
        <v>1592.17</v>
      </c>
    </row>
    <row r="137" spans="1:5" x14ac:dyDescent="0.2">
      <c r="A137" s="21">
        <v>46100</v>
      </c>
      <c r="B137" s="22">
        <v>1592.13</v>
      </c>
      <c r="C137" s="22">
        <v>1614.49</v>
      </c>
      <c r="D137" s="22">
        <v>1546.16</v>
      </c>
      <c r="E137" s="22">
        <v>1553.77</v>
      </c>
    </row>
    <row r="138" spans="1:5" x14ac:dyDescent="0.2">
      <c r="A138" s="21">
        <v>46101</v>
      </c>
      <c r="B138" s="22">
        <v>1564.08</v>
      </c>
      <c r="C138" s="22">
        <v>1567.8</v>
      </c>
      <c r="D138" s="22">
        <v>1508.82</v>
      </c>
      <c r="E138" s="22">
        <v>1516.29</v>
      </c>
    </row>
    <row r="139" spans="1:5" x14ac:dyDescent="0.2">
      <c r="A139" s="21">
        <v>46104</v>
      </c>
      <c r="B139" s="22">
        <v>1477.82</v>
      </c>
      <c r="C139" s="22">
        <v>1532.6</v>
      </c>
      <c r="D139" s="22">
        <v>1464.69</v>
      </c>
      <c r="E139" s="22">
        <v>1502</v>
      </c>
    </row>
    <row r="140" spans="1:5" x14ac:dyDescent="0.2">
      <c r="A140" s="21">
        <v>46105</v>
      </c>
      <c r="B140" s="22">
        <v>1515.25</v>
      </c>
      <c r="C140" s="22">
        <v>1520.12</v>
      </c>
      <c r="D140" s="22">
        <v>1460.69</v>
      </c>
      <c r="E140" s="22">
        <v>1479.83</v>
      </c>
    </row>
    <row r="141" spans="1:5" x14ac:dyDescent="0.2">
      <c r="A141" s="21">
        <v>46106</v>
      </c>
      <c r="B141" s="22">
        <v>1498.27</v>
      </c>
      <c r="C141" s="22">
        <v>1512.28</v>
      </c>
      <c r="D141" s="22">
        <v>1491.9</v>
      </c>
      <c r="E141" s="22">
        <v>1504.22</v>
      </c>
    </row>
    <row r="142" spans="1:5" x14ac:dyDescent="0.2">
      <c r="A142" s="21">
        <v>46107</v>
      </c>
      <c r="B142" s="22">
        <v>1507.61</v>
      </c>
      <c r="C142" s="22">
        <v>1507.68</v>
      </c>
      <c r="D142" s="22">
        <v>1441.33</v>
      </c>
      <c r="E142" s="22">
        <v>1449.09</v>
      </c>
    </row>
    <row r="143" spans="1:5" x14ac:dyDescent="0.2">
      <c r="A143" s="21">
        <v>46108</v>
      </c>
      <c r="B143" s="22">
        <v>1461.31</v>
      </c>
      <c r="C143" s="22">
        <v>1461.56</v>
      </c>
      <c r="D143" s="22">
        <v>1394.65</v>
      </c>
      <c r="E143" s="22">
        <v>1398.25</v>
      </c>
    </row>
    <row r="144" spans="1:5" x14ac:dyDescent="0.2">
      <c r="A144" s="21">
        <v>46111</v>
      </c>
      <c r="B144" s="22">
        <v>1370.49</v>
      </c>
      <c r="C144" s="22">
        <v>1439.56</v>
      </c>
      <c r="D144" s="22">
        <v>1356.09</v>
      </c>
      <c r="E144" s="22">
        <v>1417.54</v>
      </c>
    </row>
    <row r="145" spans="1:5" x14ac:dyDescent="0.2">
      <c r="A145" s="21">
        <v>46112</v>
      </c>
      <c r="B145" s="22">
        <v>1444.22</v>
      </c>
      <c r="C145" s="22">
        <v>1474.15</v>
      </c>
      <c r="D145" s="22">
        <v>1424.15</v>
      </c>
      <c r="E145" s="22">
        <v>1468.75</v>
      </c>
    </row>
    <row r="146" spans="1:5" x14ac:dyDescent="0.2">
      <c r="A146" s="21">
        <v>46113</v>
      </c>
      <c r="B146" s="22">
        <v>1500.75</v>
      </c>
      <c r="C146" s="22">
        <v>1578.1</v>
      </c>
      <c r="D146" s="22">
        <v>1473.83</v>
      </c>
      <c r="E146" s="22">
        <v>1566.35</v>
      </c>
    </row>
    <row r="147" spans="1:5" x14ac:dyDescent="0.2">
      <c r="A147" s="21">
        <v>46114</v>
      </c>
      <c r="B147" s="22">
        <v>1542.97</v>
      </c>
      <c r="C147" s="22">
        <v>1573.83</v>
      </c>
      <c r="D147" s="22">
        <v>1541.33</v>
      </c>
      <c r="E147" s="22">
        <v>1556.31</v>
      </c>
    </row>
    <row r="148" spans="1:5" x14ac:dyDescent="0.2">
      <c r="A148" s="21">
        <v>46119</v>
      </c>
      <c r="B148" s="22">
        <v>1567.4</v>
      </c>
      <c r="C148" s="22">
        <v>1570</v>
      </c>
      <c r="D148" s="22">
        <v>1511.11</v>
      </c>
      <c r="E148" s="22">
        <v>1527.25</v>
      </c>
    </row>
    <row r="149" spans="1:5" x14ac:dyDescent="0.2">
      <c r="A149" s="21">
        <v>46120</v>
      </c>
      <c r="B149" s="22">
        <v>1574.33</v>
      </c>
      <c r="C149" s="22">
        <v>1576.84</v>
      </c>
      <c r="D149" s="22">
        <v>1549.98</v>
      </c>
      <c r="E149" s="22">
        <v>1563.53</v>
      </c>
    </row>
    <row r="150" spans="1:5" x14ac:dyDescent="0.2">
      <c r="A150" s="21">
        <v>46121</v>
      </c>
      <c r="B150" s="22">
        <v>1564.15</v>
      </c>
      <c r="C150" s="22">
        <v>1564.53</v>
      </c>
      <c r="D150" s="22">
        <v>1525.6</v>
      </c>
      <c r="E150" s="22">
        <v>1544.86</v>
      </c>
    </row>
    <row r="151" spans="1:5" x14ac:dyDescent="0.2">
      <c r="A151" s="21">
        <v>46122</v>
      </c>
      <c r="B151" s="22">
        <v>1546.85</v>
      </c>
      <c r="C151" s="22">
        <v>1549</v>
      </c>
      <c r="D151" s="22">
        <v>1454.57</v>
      </c>
      <c r="E151" s="22">
        <v>1479.96</v>
      </c>
    </row>
    <row r="152" spans="1:5" x14ac:dyDescent="0.2">
      <c r="A152" s="21">
        <v>46125</v>
      </c>
      <c r="B152" s="22">
        <v>1495.76</v>
      </c>
      <c r="C152" s="22">
        <v>1516.84</v>
      </c>
      <c r="D152" s="22">
        <v>1486.38</v>
      </c>
      <c r="E152" s="22">
        <v>1509.88</v>
      </c>
    </row>
    <row r="153" spans="1:5" x14ac:dyDescent="0.2">
      <c r="A153" s="21">
        <v>46126</v>
      </c>
      <c r="B153" s="22">
        <v>1525.07</v>
      </c>
      <c r="C153" s="22">
        <v>1525.73</v>
      </c>
      <c r="D153" s="22">
        <v>1497.28</v>
      </c>
      <c r="E153" s="22">
        <v>1510.72</v>
      </c>
    </row>
    <row r="154" spans="1:5" x14ac:dyDescent="0.2">
      <c r="A154" s="21">
        <v>46127</v>
      </c>
      <c r="B154" s="22">
        <v>1514.46</v>
      </c>
      <c r="C154" s="22">
        <v>1542.88</v>
      </c>
      <c r="D154" s="22">
        <v>1498.07</v>
      </c>
      <c r="E154" s="22">
        <v>1532.21</v>
      </c>
    </row>
    <row r="155" spans="1:5" x14ac:dyDescent="0.2">
      <c r="A155" s="21">
        <v>46128</v>
      </c>
      <c r="B155" s="22">
        <v>1540.18</v>
      </c>
      <c r="C155" s="22">
        <v>1545.44</v>
      </c>
      <c r="D155" s="22">
        <v>1509.67</v>
      </c>
      <c r="E155" s="22">
        <v>1525.26</v>
      </c>
    </row>
    <row r="156" spans="1:5" x14ac:dyDescent="0.2">
      <c r="A156" s="21">
        <v>46129</v>
      </c>
      <c r="B156" s="22">
        <v>1526.77</v>
      </c>
      <c r="C156" s="22">
        <v>1554.52</v>
      </c>
      <c r="D156" s="22">
        <v>1508.69</v>
      </c>
      <c r="E156" s="22">
        <v>1531.27</v>
      </c>
    </row>
    <row r="157" spans="1:5" x14ac:dyDescent="0.2">
      <c r="A157" s="21">
        <v>46132</v>
      </c>
      <c r="B157" s="22">
        <v>1529.96</v>
      </c>
      <c r="C157" s="22">
        <v>1530.36</v>
      </c>
      <c r="D157" s="22">
        <v>1495.01</v>
      </c>
      <c r="E157" s="22">
        <v>1511.52</v>
      </c>
    </row>
    <row r="158" spans="1:5" x14ac:dyDescent="0.2">
      <c r="A158" s="21">
        <v>46133</v>
      </c>
      <c r="B158" s="22">
        <v>1516.27</v>
      </c>
      <c r="C158" s="22">
        <v>1524.62</v>
      </c>
      <c r="D158" s="22">
        <v>1463.78</v>
      </c>
      <c r="E158" s="22">
        <v>1475.73</v>
      </c>
    </row>
    <row r="159" spans="1:5" x14ac:dyDescent="0.2">
      <c r="A159" s="21">
        <v>46134</v>
      </c>
      <c r="B159" s="22">
        <v>1486.36</v>
      </c>
      <c r="C159" s="22">
        <v>1486.95</v>
      </c>
      <c r="D159" s="22">
        <v>1454.48</v>
      </c>
      <c r="E159" s="22">
        <v>1467.65</v>
      </c>
    </row>
    <row r="160" spans="1:5" x14ac:dyDescent="0.2">
      <c r="A160" s="21">
        <v>46135</v>
      </c>
      <c r="B160" s="22">
        <v>1463.6</v>
      </c>
      <c r="C160" s="22">
        <v>1467.77</v>
      </c>
      <c r="D160" s="22">
        <v>1438.93</v>
      </c>
      <c r="E160" s="22">
        <v>1448.44</v>
      </c>
    </row>
    <row r="161" spans="1:5" x14ac:dyDescent="0.2">
      <c r="A161" s="21">
        <v>46136</v>
      </c>
      <c r="B161" s="22">
        <v>1448.59</v>
      </c>
      <c r="C161" s="22">
        <v>1448.89</v>
      </c>
      <c r="D161" s="22">
        <v>1354.44</v>
      </c>
      <c r="E161" s="22">
        <v>1390.4</v>
      </c>
    </row>
    <row r="162" spans="1:5" x14ac:dyDescent="0.2">
      <c r="A162" s="21">
        <v>46139</v>
      </c>
      <c r="B162" s="22">
        <v>1391.88</v>
      </c>
      <c r="C162" s="22">
        <v>1414.03</v>
      </c>
      <c r="D162" s="22">
        <v>1382.02</v>
      </c>
      <c r="E162" s="22">
        <v>1399.83</v>
      </c>
    </row>
    <row r="163" spans="1:5" x14ac:dyDescent="0.2">
      <c r="A163" s="21">
        <v>46140</v>
      </c>
      <c r="B163" s="22">
        <v>1404.05</v>
      </c>
      <c r="C163" s="22">
        <v>1405.05</v>
      </c>
      <c r="D163" s="22">
        <v>1360.73</v>
      </c>
      <c r="E163" s="22">
        <v>1387.88</v>
      </c>
    </row>
    <row r="164" spans="1:5" x14ac:dyDescent="0.2">
      <c r="A164" s="21">
        <v>46141</v>
      </c>
      <c r="B164" s="22">
        <v>1392.33</v>
      </c>
      <c r="C164" s="22">
        <v>1432.46</v>
      </c>
      <c r="D164" s="22">
        <v>1375.26</v>
      </c>
      <c r="E164" s="22">
        <v>1385.29</v>
      </c>
    </row>
    <row r="165" spans="1:5" x14ac:dyDescent="0.2">
      <c r="A165" s="21">
        <v>46142</v>
      </c>
      <c r="B165" s="22">
        <v>1392.05</v>
      </c>
      <c r="C165" s="22">
        <v>1409.03</v>
      </c>
      <c r="D165" s="22">
        <v>1371.12</v>
      </c>
      <c r="E165" s="22">
        <v>1408.08</v>
      </c>
    </row>
    <row r="166" spans="1:5" x14ac:dyDescent="0.2">
      <c r="A166" s="21">
        <v>46146</v>
      </c>
      <c r="B166" s="22">
        <v>1425.11</v>
      </c>
      <c r="C166" s="22">
        <v>1459.91</v>
      </c>
      <c r="D166" s="22">
        <v>1414.15</v>
      </c>
      <c r="E166" s="22">
        <v>1424.52</v>
      </c>
    </row>
    <row r="167" spans="1:5" x14ac:dyDescent="0.2">
      <c r="A167" s="21">
        <v>46147</v>
      </c>
      <c r="B167" s="22">
        <v>1430.25</v>
      </c>
      <c r="C167" s="22">
        <v>1508.09</v>
      </c>
      <c r="D167" s="22">
        <v>1425.73</v>
      </c>
      <c r="E167" s="22">
        <v>1491.72</v>
      </c>
    </row>
    <row r="168" spans="1:5" x14ac:dyDescent="0.2">
      <c r="A168" s="21">
        <v>46148</v>
      </c>
      <c r="B168" s="22">
        <v>1523.16</v>
      </c>
      <c r="C168" s="22">
        <v>1524.01</v>
      </c>
      <c r="D168" s="22">
        <v>1461.94</v>
      </c>
      <c r="E168" s="22">
        <v>1495.63</v>
      </c>
    </row>
    <row r="169" spans="1:5" x14ac:dyDescent="0.2">
      <c r="A169" s="21">
        <v>46149</v>
      </c>
      <c r="B169" s="22">
        <v>1499.31</v>
      </c>
      <c r="C169" s="22">
        <v>1501.72</v>
      </c>
      <c r="D169" s="22">
        <v>1386.49</v>
      </c>
      <c r="E169" s="22">
        <v>1409.07</v>
      </c>
    </row>
    <row r="170" spans="1:5" x14ac:dyDescent="0.2">
      <c r="A170" s="21">
        <v>46150</v>
      </c>
      <c r="B170" s="22">
        <v>1362.76</v>
      </c>
      <c r="C170" s="22">
        <v>1362.76</v>
      </c>
      <c r="D170" s="22">
        <v>1237.27</v>
      </c>
      <c r="E170" s="22">
        <v>1240.53</v>
      </c>
    </row>
    <row r="171" spans="1:5" x14ac:dyDescent="0.2">
      <c r="A171" s="21">
        <v>46153</v>
      </c>
      <c r="B171" s="22">
        <v>1255.51</v>
      </c>
      <c r="C171" s="22">
        <v>1258.28</v>
      </c>
      <c r="D171" s="22">
        <v>1164.1400000000001</v>
      </c>
      <c r="E171" s="22">
        <v>1196.5999999999999</v>
      </c>
    </row>
    <row r="172" spans="1:5" x14ac:dyDescent="0.2">
      <c r="A172" s="21">
        <v>46154</v>
      </c>
      <c r="B172" s="22">
        <v>1211.53</v>
      </c>
      <c r="C172" s="22">
        <v>1213.5</v>
      </c>
      <c r="D172" s="22">
        <v>1127.6500000000001</v>
      </c>
      <c r="E172" s="22">
        <v>1163.8900000000001</v>
      </c>
    </row>
    <row r="173" spans="1:5" x14ac:dyDescent="0.2">
      <c r="A173" s="21">
        <v>46155</v>
      </c>
      <c r="B173" s="22">
        <v>1160.3800000000001</v>
      </c>
      <c r="C173" s="22">
        <v>1170.58</v>
      </c>
      <c r="D173" s="22">
        <v>1086.27</v>
      </c>
      <c r="E173" s="22">
        <v>1108.18</v>
      </c>
    </row>
    <row r="174" spans="1:5" x14ac:dyDescent="0.2">
      <c r="A174" s="21">
        <v>46156</v>
      </c>
      <c r="B174" s="22">
        <v>1109.5</v>
      </c>
      <c r="C174" s="22">
        <v>1170.67</v>
      </c>
      <c r="D174" s="22">
        <v>1108.97</v>
      </c>
      <c r="E174" s="22">
        <v>1149.1400000000001</v>
      </c>
    </row>
    <row r="175" spans="1:5" x14ac:dyDescent="0.2">
      <c r="A175" s="21">
        <v>46157</v>
      </c>
      <c r="B175" s="22">
        <v>1131.44</v>
      </c>
      <c r="C175" s="22">
        <v>1186.8800000000001</v>
      </c>
      <c r="D175" s="22">
        <v>1106.4100000000001</v>
      </c>
      <c r="E175" s="22">
        <v>1112.6500000000001</v>
      </c>
    </row>
    <row r="176" spans="1:5" x14ac:dyDescent="0.2">
      <c r="A176" s="21">
        <v>46160</v>
      </c>
      <c r="B176" s="22">
        <v>1132.8900000000001</v>
      </c>
      <c r="C176" s="22">
        <v>1188.1300000000001</v>
      </c>
      <c r="D176" s="22">
        <v>1116.56</v>
      </c>
      <c r="E176" s="22">
        <v>1186.3800000000001</v>
      </c>
    </row>
    <row r="177" spans="1:5" x14ac:dyDescent="0.2">
      <c r="A177" s="21">
        <v>46161</v>
      </c>
      <c r="B177" s="22">
        <v>1219.1500000000001</v>
      </c>
      <c r="C177" s="22">
        <v>1251.8599999999999</v>
      </c>
      <c r="D177" s="22">
        <v>1205.8900000000001</v>
      </c>
      <c r="E177" s="22">
        <v>1221.67</v>
      </c>
    </row>
    <row r="178" spans="1:5" x14ac:dyDescent="0.2">
      <c r="A178" s="21">
        <v>46162</v>
      </c>
      <c r="B178" s="22">
        <v>1240.73</v>
      </c>
      <c r="C178" s="22">
        <v>1265.6199999999999</v>
      </c>
      <c r="D178" s="22">
        <v>1220.18</v>
      </c>
      <c r="E178" s="22">
        <v>1263.81</v>
      </c>
    </row>
    <row r="179" spans="1:5" x14ac:dyDescent="0.2">
      <c r="A179" s="21">
        <v>46163</v>
      </c>
      <c r="B179" s="22">
        <v>1249.8499999999999</v>
      </c>
      <c r="C179" s="22">
        <v>1266.56</v>
      </c>
      <c r="D179" s="22">
        <v>1228.52</v>
      </c>
      <c r="E179" s="22">
        <v>1239.6400000000001</v>
      </c>
    </row>
    <row r="180" spans="1:5" x14ac:dyDescent="0.2">
      <c r="A180" s="21">
        <v>46164</v>
      </c>
      <c r="B180" s="22">
        <v>1233.25</v>
      </c>
      <c r="C180" s="22">
        <v>1278.74</v>
      </c>
      <c r="D180" s="22">
        <v>1229.07</v>
      </c>
      <c r="E180" s="22">
        <v>1247.75</v>
      </c>
    </row>
    <row r="181" spans="1:5" x14ac:dyDescent="0.2">
      <c r="A181" s="21">
        <v>46167</v>
      </c>
      <c r="B181" s="22">
        <v>1262.1400000000001</v>
      </c>
      <c r="C181" s="22">
        <v>1277.49</v>
      </c>
      <c r="D181" s="22">
        <v>1247.27</v>
      </c>
      <c r="E181" s="22">
        <v>1268.98</v>
      </c>
    </row>
    <row r="182" spans="1:5" x14ac:dyDescent="0.2">
      <c r="A182" s="21">
        <v>46168</v>
      </c>
      <c r="B182" s="22">
        <v>1271.68</v>
      </c>
      <c r="C182" s="22">
        <v>1283.04</v>
      </c>
      <c r="D182" s="22">
        <v>1259.26</v>
      </c>
      <c r="E182" s="22">
        <v>1268.69</v>
      </c>
    </row>
    <row r="183" spans="1:5" x14ac:dyDescent="0.2">
      <c r="A183" s="21">
        <v>46169</v>
      </c>
      <c r="B183" s="22">
        <v>1272.52</v>
      </c>
      <c r="C183" s="22">
        <v>1291.6400000000001</v>
      </c>
      <c r="D183" s="22">
        <v>1257.1400000000001</v>
      </c>
      <c r="E183" s="22">
        <v>1266.3499999999999</v>
      </c>
    </row>
    <row r="184" spans="1:5" x14ac:dyDescent="0.2">
      <c r="A184" s="21">
        <v>46170</v>
      </c>
      <c r="B184" s="22">
        <v>1271.93</v>
      </c>
      <c r="C184" s="22">
        <v>1341.75</v>
      </c>
      <c r="D184" s="22">
        <v>1265.78</v>
      </c>
      <c r="E184" s="22">
        <v>1333.97</v>
      </c>
    </row>
    <row r="185" spans="1:5" x14ac:dyDescent="0.2">
      <c r="A185" s="21">
        <v>46171</v>
      </c>
      <c r="B185" s="22">
        <v>1346.54</v>
      </c>
      <c r="C185" s="22">
        <v>1359.2</v>
      </c>
      <c r="D185" s="22">
        <v>1324.01</v>
      </c>
      <c r="E185" s="22">
        <v>1334.52</v>
      </c>
    </row>
    <row r="186" spans="1:5" x14ac:dyDescent="0.2">
      <c r="A186" s="21">
        <v>46174</v>
      </c>
      <c r="B186" s="22">
        <v>1350.85</v>
      </c>
      <c r="C186" s="22">
        <v>1356.86</v>
      </c>
      <c r="D186" s="22">
        <v>1233.3399999999999</v>
      </c>
      <c r="E186" s="22">
        <v>1236.07</v>
      </c>
    </row>
    <row r="187" spans="1:5" x14ac:dyDescent="0.2">
      <c r="A187" s="21">
        <v>46175</v>
      </c>
      <c r="B187" s="22">
        <v>1251.1400000000001</v>
      </c>
      <c r="C187" s="22">
        <v>1251.45</v>
      </c>
      <c r="D187" s="22">
        <v>1175.6500000000001</v>
      </c>
      <c r="E187" s="22">
        <v>1215.67</v>
      </c>
    </row>
    <row r="188" spans="1:5" x14ac:dyDescent="0.2">
      <c r="A188" s="21">
        <v>46176</v>
      </c>
      <c r="B188" s="22">
        <v>1218.5999999999999</v>
      </c>
      <c r="C188" s="22">
        <v>1220.6500000000001</v>
      </c>
      <c r="D188" s="22">
        <v>1167.29</v>
      </c>
      <c r="E188" s="22">
        <v>1208</v>
      </c>
    </row>
    <row r="189" spans="1:5" x14ac:dyDescent="0.2">
      <c r="A189" s="21">
        <v>46177</v>
      </c>
      <c r="B189" s="22">
        <v>1214.52</v>
      </c>
      <c r="C189" s="22">
        <v>1230.19</v>
      </c>
      <c r="D189" s="22">
        <v>1190.22</v>
      </c>
      <c r="E189" s="22">
        <v>1212.28</v>
      </c>
    </row>
    <row r="190" spans="1:5" x14ac:dyDescent="0.2">
      <c r="A190" s="21">
        <v>46178</v>
      </c>
      <c r="B190" s="22">
        <v>1197.45</v>
      </c>
      <c r="C190" s="22">
        <v>1244.72</v>
      </c>
      <c r="D190" s="22">
        <v>1189.3599999999999</v>
      </c>
      <c r="E190" s="22">
        <v>1210.97</v>
      </c>
    </row>
    <row r="191" spans="1:5" x14ac:dyDescent="0.2">
      <c r="A191" s="21">
        <v>46181</v>
      </c>
      <c r="B191" s="22">
        <v>1221.08</v>
      </c>
      <c r="C191" s="22">
        <v>1245.3800000000001</v>
      </c>
      <c r="D191" s="22">
        <v>1199.67</v>
      </c>
      <c r="E191" s="22">
        <v>1223.8900000000001</v>
      </c>
    </row>
    <row r="192" spans="1:5" x14ac:dyDescent="0.2">
      <c r="A192" s="21">
        <v>46182</v>
      </c>
      <c r="B192" s="22">
        <v>1211.82</v>
      </c>
      <c r="C192" s="22">
        <v>1257.17</v>
      </c>
      <c r="D192" s="22">
        <v>1186.9000000000001</v>
      </c>
      <c r="E192" s="22">
        <v>1226.3399999999999</v>
      </c>
    </row>
    <row r="193" spans="1:5" x14ac:dyDescent="0.2">
      <c r="A193" s="21">
        <v>46183</v>
      </c>
      <c r="B193" s="22">
        <v>1226.26</v>
      </c>
      <c r="C193" s="22">
        <v>1241.6300000000001</v>
      </c>
      <c r="D193" s="22">
        <v>1208.01</v>
      </c>
      <c r="E193" s="22">
        <v>1215.22</v>
      </c>
    </row>
    <row r="194" spans="1:5" x14ac:dyDescent="0.2">
      <c r="A194" s="21">
        <v>46184</v>
      </c>
      <c r="B194" s="22">
        <v>1219.56</v>
      </c>
      <c r="C194" s="22">
        <v>1272.8599999999999</v>
      </c>
      <c r="D194" s="22">
        <v>1218.29</v>
      </c>
      <c r="E194" s="22">
        <v>1265.71</v>
      </c>
    </row>
    <row r="195" spans="1:5" x14ac:dyDescent="0.2">
      <c r="A195" s="21">
        <v>46185</v>
      </c>
      <c r="B195" s="22">
        <v>1266.18</v>
      </c>
      <c r="C195" s="22">
        <v>1266.74</v>
      </c>
      <c r="D195" s="22">
        <v>1198.6099999999999</v>
      </c>
      <c r="E195" s="22">
        <v>1220.23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showGridLines="0" topLeftCell="A45" zoomScaleNormal="100" workbookViewId="0"/>
  </sheetViews>
  <sheetFormatPr baseColWidth="10" defaultColWidth="8.6640625" defaultRowHeight="15" x14ac:dyDescent="0.2"/>
  <cols>
    <col min="1" max="7" width="12" customWidth="1"/>
  </cols>
  <sheetData>
    <row r="1" spans="1:7" ht="18" x14ac:dyDescent="0.2">
      <c r="A1" s="2" t="s">
        <v>137</v>
      </c>
    </row>
    <row r="2" spans="1:7" x14ac:dyDescent="0.2">
      <c r="A2" s="20" t="s">
        <v>138</v>
      </c>
    </row>
    <row r="3" spans="1:7" x14ac:dyDescent="0.2">
      <c r="A3" s="6" t="s">
        <v>127</v>
      </c>
      <c r="B3" s="6" t="s">
        <v>139</v>
      </c>
      <c r="C3" s="6" t="s">
        <v>140</v>
      </c>
      <c r="D3" s="6" t="s">
        <v>141</v>
      </c>
      <c r="E3" s="6" t="s">
        <v>142</v>
      </c>
      <c r="F3" s="6" t="s">
        <v>143</v>
      </c>
      <c r="G3" s="6" t="s">
        <v>144</v>
      </c>
    </row>
    <row r="4" spans="1:7" x14ac:dyDescent="0.2">
      <c r="A4" s="21">
        <v>45901</v>
      </c>
      <c r="B4" s="24">
        <v>1.169597</v>
      </c>
      <c r="C4" s="24">
        <v>0.803566</v>
      </c>
      <c r="D4" s="24">
        <v>-1.4670449999999999</v>
      </c>
      <c r="E4" s="24">
        <v>7.5897170000000003</v>
      </c>
      <c r="F4" s="24">
        <v>2.6681430000000002</v>
      </c>
      <c r="G4" s="24">
        <v>12.846857999999999</v>
      </c>
    </row>
    <row r="5" spans="1:7" x14ac:dyDescent="0.2">
      <c r="A5" s="21">
        <v>45902</v>
      </c>
      <c r="B5" s="24">
        <v>1.1841790000000001</v>
      </c>
      <c r="C5" s="24">
        <v>0.78086900000000004</v>
      </c>
      <c r="D5" s="24">
        <v>-1.3655729999999999</v>
      </c>
      <c r="E5" s="24">
        <v>7.6668200000000004</v>
      </c>
      <c r="F5" s="24">
        <v>2.7052390000000002</v>
      </c>
      <c r="G5" s="24">
        <v>13.019474000000001</v>
      </c>
    </row>
    <row r="6" spans="1:7" x14ac:dyDescent="0.2">
      <c r="A6" s="21">
        <v>45903</v>
      </c>
      <c r="B6" s="24">
        <v>1.1827669999999999</v>
      </c>
      <c r="C6" s="24">
        <v>0.77982300000000004</v>
      </c>
      <c r="D6" s="24">
        <v>-1.4398820000000001</v>
      </c>
      <c r="E6" s="24">
        <v>7.5807190000000002</v>
      </c>
      <c r="F6" s="24">
        <v>2.718588</v>
      </c>
      <c r="G6" s="24">
        <v>12.987219</v>
      </c>
    </row>
    <row r="7" spans="1:7" x14ac:dyDescent="0.2">
      <c r="A7" s="21">
        <v>45904</v>
      </c>
      <c r="B7" s="24">
        <v>1.1683429999999999</v>
      </c>
      <c r="C7" s="24">
        <v>0.79145600000000005</v>
      </c>
      <c r="D7" s="24">
        <v>-1.558745</v>
      </c>
      <c r="E7" s="24">
        <v>7.5476260000000002</v>
      </c>
      <c r="F7" s="24">
        <v>2.8773659999999999</v>
      </c>
      <c r="G7" s="24">
        <v>12.757641</v>
      </c>
    </row>
    <row r="8" spans="1:7" x14ac:dyDescent="0.2">
      <c r="A8" s="21">
        <v>45905</v>
      </c>
      <c r="B8" s="24">
        <v>1.1674260000000001</v>
      </c>
      <c r="C8" s="24">
        <v>0.76180700000000001</v>
      </c>
      <c r="D8" s="24">
        <v>-1.8212619999999999</v>
      </c>
      <c r="E8" s="24">
        <v>7.6648040000000002</v>
      </c>
      <c r="F8" s="24">
        <v>3.218451</v>
      </c>
      <c r="G8" s="24">
        <v>12.62628</v>
      </c>
    </row>
    <row r="9" spans="1:7" x14ac:dyDescent="0.2">
      <c r="A9" s="21">
        <v>45908</v>
      </c>
      <c r="B9" s="24">
        <v>1.1981759999999999</v>
      </c>
      <c r="C9" s="24">
        <v>0.75222500000000003</v>
      </c>
      <c r="D9" s="24">
        <v>-2.297018</v>
      </c>
      <c r="E9" s="24">
        <v>7.7256830000000001</v>
      </c>
      <c r="F9" s="24">
        <v>3.4385750000000002</v>
      </c>
      <c r="G9" s="24">
        <v>11.802636</v>
      </c>
    </row>
    <row r="10" spans="1:7" x14ac:dyDescent="0.2">
      <c r="A10" s="21">
        <v>45909</v>
      </c>
      <c r="B10" s="24">
        <v>1.2051970000000001</v>
      </c>
      <c r="C10" s="24">
        <v>0.74040899999999998</v>
      </c>
      <c r="D10" s="24">
        <v>-1.6776759999999999</v>
      </c>
      <c r="E10" s="24">
        <v>7.3941800000000004</v>
      </c>
      <c r="F10" s="24">
        <v>3.0239549999999999</v>
      </c>
      <c r="G10" s="24">
        <v>12.832287000000001</v>
      </c>
    </row>
    <row r="11" spans="1:7" x14ac:dyDescent="0.2">
      <c r="A11" s="21">
        <v>45910</v>
      </c>
      <c r="B11" s="24">
        <v>1.202277</v>
      </c>
      <c r="C11" s="24">
        <v>0.76165799999999995</v>
      </c>
      <c r="D11" s="24">
        <v>-1.692318</v>
      </c>
      <c r="E11" s="24">
        <v>7.386787</v>
      </c>
      <c r="F11" s="24">
        <v>3.0262229999999999</v>
      </c>
      <c r="G11" s="24">
        <v>12.836812</v>
      </c>
    </row>
    <row r="12" spans="1:7" x14ac:dyDescent="0.2">
      <c r="A12" s="21">
        <v>45911</v>
      </c>
      <c r="B12" s="24">
        <v>1.204237</v>
      </c>
      <c r="C12" s="24">
        <v>0.75690999999999997</v>
      </c>
      <c r="D12" s="24">
        <v>-1.615143</v>
      </c>
      <c r="E12" s="24">
        <v>7.3569170000000002</v>
      </c>
      <c r="F12" s="24">
        <v>3.2682540000000002</v>
      </c>
      <c r="G12" s="24">
        <v>12.889797</v>
      </c>
    </row>
    <row r="13" spans="1:7" x14ac:dyDescent="0.2">
      <c r="A13" s="21">
        <v>45912</v>
      </c>
      <c r="B13" s="24">
        <v>1.1996880000000001</v>
      </c>
      <c r="C13" s="24">
        <v>0.74495900000000004</v>
      </c>
      <c r="D13" s="24">
        <v>-1.4620919999999999</v>
      </c>
      <c r="E13" s="24">
        <v>7.3527040000000001</v>
      </c>
      <c r="F13" s="24">
        <v>3.328068</v>
      </c>
      <c r="G13" s="24">
        <v>12.832385</v>
      </c>
    </row>
    <row r="14" spans="1:7" x14ac:dyDescent="0.2">
      <c r="A14" s="21">
        <v>45915</v>
      </c>
      <c r="B14" s="24">
        <v>1.1946969999999999</v>
      </c>
      <c r="C14" s="24">
        <v>0.75098200000000004</v>
      </c>
      <c r="D14" s="24">
        <v>-1.484931</v>
      </c>
      <c r="E14" s="24">
        <v>7.3415800000000004</v>
      </c>
      <c r="F14" s="24">
        <v>3.3225359999999999</v>
      </c>
      <c r="G14" s="24">
        <v>12.848706</v>
      </c>
    </row>
    <row r="15" spans="1:7" x14ac:dyDescent="0.2">
      <c r="A15" s="21">
        <v>45916</v>
      </c>
      <c r="B15" s="24">
        <v>1.190226</v>
      </c>
      <c r="C15" s="24">
        <v>0.77280400000000005</v>
      </c>
      <c r="D15" s="24">
        <v>-1.510362</v>
      </c>
      <c r="E15" s="24">
        <v>7.3436719999999998</v>
      </c>
      <c r="F15" s="24">
        <v>3.3114180000000002</v>
      </c>
      <c r="G15" s="24">
        <v>12.845352</v>
      </c>
    </row>
    <row r="16" spans="1:7" x14ac:dyDescent="0.2">
      <c r="A16" s="21">
        <v>45917</v>
      </c>
      <c r="B16" s="24">
        <v>1.203972</v>
      </c>
      <c r="C16" s="24">
        <v>0.74758100000000005</v>
      </c>
      <c r="D16" s="24">
        <v>-1.13154</v>
      </c>
      <c r="E16" s="24">
        <v>6.9793070000000004</v>
      </c>
      <c r="F16" s="24">
        <v>2.8687269999999998</v>
      </c>
      <c r="G16" s="24">
        <v>13.349989000000001</v>
      </c>
    </row>
    <row r="17" spans="1:7" x14ac:dyDescent="0.2">
      <c r="A17" s="21">
        <v>45918</v>
      </c>
      <c r="B17" s="24">
        <v>1.2130350000000001</v>
      </c>
      <c r="C17" s="24">
        <v>0.74627100000000002</v>
      </c>
      <c r="D17" s="24">
        <v>-1.7783409999999999</v>
      </c>
      <c r="E17" s="24">
        <v>7.4976729999999998</v>
      </c>
      <c r="F17" s="24">
        <v>3.4564729999999999</v>
      </c>
      <c r="G17" s="24">
        <v>12.195202</v>
      </c>
    </row>
    <row r="18" spans="1:7" x14ac:dyDescent="0.2">
      <c r="A18" s="21">
        <v>45919</v>
      </c>
      <c r="B18" s="24">
        <v>1.2024429999999999</v>
      </c>
      <c r="C18" s="24">
        <v>0.76788100000000004</v>
      </c>
      <c r="D18" s="24">
        <v>-1.4546600000000001</v>
      </c>
      <c r="E18" s="24">
        <v>7.4025850000000002</v>
      </c>
      <c r="F18" s="24">
        <v>3.1455869999999999</v>
      </c>
      <c r="G18" s="24">
        <v>12.699911999999999</v>
      </c>
    </row>
    <row r="19" spans="1:7" x14ac:dyDescent="0.2">
      <c r="A19" s="21">
        <v>45922</v>
      </c>
      <c r="B19" s="24">
        <v>1.216005</v>
      </c>
      <c r="C19" s="24">
        <v>0.75313200000000002</v>
      </c>
      <c r="D19" s="24">
        <v>-1.6828540000000001</v>
      </c>
      <c r="E19" s="24">
        <v>7.5806620000000002</v>
      </c>
      <c r="F19" s="24">
        <v>3.3179159999999999</v>
      </c>
      <c r="G19" s="24">
        <v>12.473034</v>
      </c>
    </row>
    <row r="20" spans="1:7" x14ac:dyDescent="0.2">
      <c r="A20" s="21">
        <v>45923</v>
      </c>
      <c r="B20" s="24">
        <v>1.2259640000000001</v>
      </c>
      <c r="C20" s="24">
        <v>0.725379</v>
      </c>
      <c r="D20" s="24">
        <v>-1.3124370000000001</v>
      </c>
      <c r="E20" s="24">
        <v>7.3348890000000004</v>
      </c>
      <c r="F20" s="24">
        <v>3.159605</v>
      </c>
      <c r="G20" s="24">
        <v>13.051755</v>
      </c>
    </row>
    <row r="21" spans="1:7" x14ac:dyDescent="0.2">
      <c r="A21" s="21">
        <v>45924</v>
      </c>
      <c r="B21" s="24">
        <v>1.2276359999999999</v>
      </c>
      <c r="C21" s="24">
        <v>0.72546999999999995</v>
      </c>
      <c r="D21" s="24">
        <v>-1.4722599999999999</v>
      </c>
      <c r="E21" s="24">
        <v>7.4148040000000002</v>
      </c>
      <c r="F21" s="24">
        <v>3.224402</v>
      </c>
      <c r="G21" s="24">
        <v>12.742848</v>
      </c>
    </row>
    <row r="22" spans="1:7" x14ac:dyDescent="0.2">
      <c r="A22" s="21">
        <v>45925</v>
      </c>
      <c r="B22" s="24">
        <v>1.2127680000000001</v>
      </c>
      <c r="C22" s="24">
        <v>0.73718099999999998</v>
      </c>
      <c r="D22" s="24">
        <v>-1.360473</v>
      </c>
      <c r="E22" s="24">
        <v>7.400741</v>
      </c>
      <c r="F22" s="24">
        <v>3.2677550000000002</v>
      </c>
      <c r="G22" s="24">
        <v>12.696462</v>
      </c>
    </row>
    <row r="23" spans="1:7" x14ac:dyDescent="0.2">
      <c r="A23" s="21">
        <v>45926</v>
      </c>
      <c r="B23" s="24">
        <v>1.21302</v>
      </c>
      <c r="C23" s="24">
        <v>0.73677800000000004</v>
      </c>
      <c r="D23" s="24">
        <v>-1.3968799999999999</v>
      </c>
      <c r="E23" s="24">
        <v>7.3675740000000003</v>
      </c>
      <c r="F23" s="24">
        <v>3.2675230000000002</v>
      </c>
      <c r="G23" s="24">
        <v>12.69983</v>
      </c>
    </row>
    <row r="24" spans="1:7" x14ac:dyDescent="0.2">
      <c r="A24" s="21">
        <v>45929</v>
      </c>
      <c r="B24" s="24">
        <v>1.2148559999999999</v>
      </c>
      <c r="C24" s="24">
        <v>0.72928300000000001</v>
      </c>
      <c r="D24" s="24">
        <v>-1.719724</v>
      </c>
      <c r="E24" s="24">
        <v>7.4347110000000001</v>
      </c>
      <c r="F24" s="24">
        <v>3.67841</v>
      </c>
      <c r="G24" s="24">
        <v>12.20876</v>
      </c>
    </row>
    <row r="25" spans="1:7" x14ac:dyDescent="0.2">
      <c r="A25" s="21">
        <v>45930</v>
      </c>
      <c r="B25" s="24">
        <v>1.209956</v>
      </c>
      <c r="C25" s="24">
        <v>0.73815900000000001</v>
      </c>
      <c r="D25" s="24">
        <v>-1.4413309999999999</v>
      </c>
      <c r="E25" s="24">
        <v>7.2608879999999996</v>
      </c>
      <c r="F25" s="24">
        <v>3.380951</v>
      </c>
      <c r="G25" s="24">
        <v>12.732421</v>
      </c>
    </row>
    <row r="26" spans="1:7" x14ac:dyDescent="0.2">
      <c r="A26" s="21">
        <v>45931</v>
      </c>
      <c r="B26" s="24">
        <v>1.2114050000000001</v>
      </c>
      <c r="C26" s="24">
        <v>0.75011099999999997</v>
      </c>
      <c r="D26" s="24">
        <v>-1.515598</v>
      </c>
      <c r="E26" s="24">
        <v>7.283887</v>
      </c>
      <c r="F26" s="24">
        <v>3.2669519999999999</v>
      </c>
      <c r="G26" s="24">
        <v>12.731987</v>
      </c>
    </row>
    <row r="27" spans="1:7" x14ac:dyDescent="0.2">
      <c r="A27" s="21">
        <v>45932</v>
      </c>
      <c r="B27" s="24">
        <v>1.228572</v>
      </c>
      <c r="C27" s="24">
        <v>0.72806400000000004</v>
      </c>
      <c r="D27" s="24">
        <v>-1.484783</v>
      </c>
      <c r="E27" s="24">
        <v>7.2755460000000003</v>
      </c>
      <c r="F27" s="24">
        <v>3.3616470000000001</v>
      </c>
      <c r="G27" s="24">
        <v>12.745995000000001</v>
      </c>
    </row>
    <row r="28" spans="1:7" x14ac:dyDescent="0.2">
      <c r="A28" s="21">
        <v>45933</v>
      </c>
      <c r="B28" s="24">
        <v>1.222421</v>
      </c>
      <c r="C28" s="24">
        <v>0.72745499999999996</v>
      </c>
      <c r="D28" s="24">
        <v>-1.5690839999999999</v>
      </c>
      <c r="E28" s="24">
        <v>7.2990370000000002</v>
      </c>
      <c r="F28" s="24">
        <v>3.5827149999999999</v>
      </c>
      <c r="G28" s="24">
        <v>12.677358999999999</v>
      </c>
    </row>
    <row r="29" spans="1:7" x14ac:dyDescent="0.2">
      <c r="A29" s="21">
        <v>45936</v>
      </c>
      <c r="B29" s="24">
        <v>1.226707</v>
      </c>
      <c r="C29" s="24">
        <v>0.72989999999999999</v>
      </c>
      <c r="D29" s="24">
        <v>-1.4994320000000001</v>
      </c>
      <c r="E29" s="24">
        <v>7.296862</v>
      </c>
      <c r="F29" s="24">
        <v>3.2667730000000001</v>
      </c>
      <c r="G29" s="24">
        <v>12.725614999999999</v>
      </c>
    </row>
    <row r="30" spans="1:7" x14ac:dyDescent="0.2">
      <c r="A30" s="21">
        <v>45937</v>
      </c>
      <c r="B30" s="24">
        <v>1.2041059999999999</v>
      </c>
      <c r="C30" s="24">
        <v>0.72980800000000001</v>
      </c>
      <c r="D30" s="24">
        <v>-1.46594</v>
      </c>
      <c r="E30" s="24">
        <v>7.438453</v>
      </c>
      <c r="F30" s="24">
        <v>3.3959709999999999</v>
      </c>
      <c r="G30" s="24">
        <v>12.787939</v>
      </c>
    </row>
    <row r="31" spans="1:7" x14ac:dyDescent="0.2">
      <c r="A31" s="21">
        <v>45938</v>
      </c>
      <c r="B31" s="24">
        <v>1.206712</v>
      </c>
      <c r="C31" s="24">
        <v>0.74016499999999996</v>
      </c>
      <c r="D31" s="24">
        <v>-1.6315789999999999</v>
      </c>
      <c r="E31" s="24">
        <v>7.3451250000000003</v>
      </c>
      <c r="F31" s="24">
        <v>3.3869229999999999</v>
      </c>
      <c r="G31" s="24">
        <v>12.580206</v>
      </c>
    </row>
    <row r="32" spans="1:7" x14ac:dyDescent="0.2">
      <c r="A32" s="21">
        <v>45939</v>
      </c>
      <c r="B32" s="24">
        <v>1.196917</v>
      </c>
      <c r="C32" s="24">
        <v>0.73244799999999999</v>
      </c>
      <c r="D32" s="24">
        <v>-1.414148</v>
      </c>
      <c r="E32" s="24">
        <v>7.3033149999999996</v>
      </c>
      <c r="F32" s="24">
        <v>3.3277290000000002</v>
      </c>
      <c r="G32" s="24">
        <v>12.847227999999999</v>
      </c>
    </row>
    <row r="33" spans="1:7" x14ac:dyDescent="0.2">
      <c r="A33" s="21">
        <v>45940</v>
      </c>
      <c r="B33" s="24">
        <v>1.187632</v>
      </c>
      <c r="C33" s="24">
        <v>0.74616199999999999</v>
      </c>
      <c r="D33" s="24">
        <v>-1.469681</v>
      </c>
      <c r="E33" s="24">
        <v>7.2578050000000003</v>
      </c>
      <c r="F33" s="24">
        <v>3.3257189999999999</v>
      </c>
      <c r="G33" s="24">
        <v>12.853225</v>
      </c>
    </row>
    <row r="34" spans="1:7" x14ac:dyDescent="0.2">
      <c r="A34" s="21">
        <v>45943</v>
      </c>
      <c r="B34" s="24">
        <v>1.1772739999999999</v>
      </c>
      <c r="C34" s="24">
        <v>0.74978999999999996</v>
      </c>
      <c r="D34" s="24">
        <v>-2.3145959999999999</v>
      </c>
      <c r="E34" s="24">
        <v>7.727716</v>
      </c>
      <c r="F34" s="24">
        <v>3.8802210000000001</v>
      </c>
      <c r="G34" s="24">
        <v>11.612280999999999</v>
      </c>
    </row>
    <row r="35" spans="1:7" x14ac:dyDescent="0.2">
      <c r="A35" s="21">
        <v>45944</v>
      </c>
      <c r="B35" s="24">
        <v>1.1634359999999999</v>
      </c>
      <c r="C35" s="24">
        <v>0.74560599999999999</v>
      </c>
      <c r="D35" s="24">
        <v>-1.522</v>
      </c>
      <c r="E35" s="24">
        <v>7.1568519999999998</v>
      </c>
      <c r="F35" s="24">
        <v>3.33535</v>
      </c>
      <c r="G35" s="24">
        <v>12.867705000000001</v>
      </c>
    </row>
    <row r="36" spans="1:7" x14ac:dyDescent="0.2">
      <c r="A36" s="21">
        <v>45945</v>
      </c>
      <c r="B36" s="24">
        <v>1.163297</v>
      </c>
      <c r="C36" s="24">
        <v>0.74689399999999995</v>
      </c>
      <c r="D36" s="24">
        <v>-2.4205969999999999</v>
      </c>
      <c r="E36" s="24">
        <v>7.6492209999999998</v>
      </c>
      <c r="F36" s="24">
        <v>3.949449</v>
      </c>
      <c r="G36" s="24">
        <v>11.533274</v>
      </c>
    </row>
    <row r="37" spans="1:7" x14ac:dyDescent="0.2">
      <c r="A37" s="21">
        <v>45946</v>
      </c>
      <c r="B37" s="24">
        <v>1.1551530000000001</v>
      </c>
      <c r="C37" s="24">
        <v>0.75893200000000005</v>
      </c>
      <c r="D37" s="24">
        <v>-2.3622800000000002</v>
      </c>
      <c r="E37" s="24">
        <v>7.6860980000000003</v>
      </c>
      <c r="F37" s="24">
        <v>3.8874580000000001</v>
      </c>
      <c r="G37" s="24">
        <v>11.629346</v>
      </c>
    </row>
    <row r="38" spans="1:7" x14ac:dyDescent="0.2">
      <c r="A38" s="21">
        <v>45947</v>
      </c>
      <c r="B38" s="24">
        <v>1.138196</v>
      </c>
      <c r="C38" s="24">
        <v>0.75772099999999998</v>
      </c>
      <c r="D38" s="24">
        <v>-2.3216320000000001</v>
      </c>
      <c r="E38" s="24">
        <v>7.746772</v>
      </c>
      <c r="F38" s="24">
        <v>3.9578700000000002</v>
      </c>
      <c r="G38" s="24">
        <v>11.789682000000001</v>
      </c>
    </row>
    <row r="39" spans="1:7" x14ac:dyDescent="0.2">
      <c r="A39" s="21">
        <v>45950</v>
      </c>
      <c r="B39" s="24">
        <v>1.1350389999999999</v>
      </c>
      <c r="C39" s="24">
        <v>0.75248300000000001</v>
      </c>
      <c r="D39" s="24">
        <v>-2.2916799999999999</v>
      </c>
      <c r="E39" s="24">
        <v>7.7497350000000003</v>
      </c>
      <c r="F39" s="24">
        <v>3.9657830000000001</v>
      </c>
      <c r="G39" s="24">
        <v>11.773092</v>
      </c>
    </row>
    <row r="40" spans="1:7" x14ac:dyDescent="0.2">
      <c r="A40" s="21">
        <v>45951</v>
      </c>
      <c r="B40" s="24">
        <v>1.1320030000000001</v>
      </c>
      <c r="C40" s="24">
        <v>0.74937799999999999</v>
      </c>
      <c r="D40" s="24">
        <v>-2.3077350000000001</v>
      </c>
      <c r="E40" s="24">
        <v>7.640174</v>
      </c>
      <c r="F40" s="24">
        <v>4.0219519999999997</v>
      </c>
      <c r="G40" s="24">
        <v>11.750947999999999</v>
      </c>
    </row>
    <row r="41" spans="1:7" x14ac:dyDescent="0.2">
      <c r="A41" s="21">
        <v>45952</v>
      </c>
      <c r="B41" s="24">
        <v>1.1339889999999999</v>
      </c>
      <c r="C41" s="24">
        <v>0.76487499999999997</v>
      </c>
      <c r="D41" s="24">
        <v>-2.298413</v>
      </c>
      <c r="E41" s="24">
        <v>7.6464780000000001</v>
      </c>
      <c r="F41" s="24">
        <v>3.9499</v>
      </c>
      <c r="G41" s="24">
        <v>11.715217000000001</v>
      </c>
    </row>
    <row r="42" spans="1:7" x14ac:dyDescent="0.2">
      <c r="A42" s="21">
        <v>45953</v>
      </c>
      <c r="B42" s="24">
        <v>1.1283259999999999</v>
      </c>
      <c r="C42" s="24">
        <v>0.77466100000000004</v>
      </c>
      <c r="D42" s="24">
        <v>-2.2960250000000002</v>
      </c>
      <c r="E42" s="24">
        <v>7.7216839999999998</v>
      </c>
      <c r="F42" s="24">
        <v>3.9774820000000002</v>
      </c>
      <c r="G42" s="24">
        <v>11.767270999999999</v>
      </c>
    </row>
    <row r="43" spans="1:7" x14ac:dyDescent="0.2">
      <c r="A43" s="21">
        <v>45954</v>
      </c>
      <c r="B43" s="24">
        <v>1.1505190000000001</v>
      </c>
      <c r="C43" s="24">
        <v>0.76558800000000005</v>
      </c>
      <c r="D43" s="24">
        <v>-1.7138409999999999</v>
      </c>
      <c r="E43" s="24">
        <v>7.4154879999999999</v>
      </c>
      <c r="F43" s="24">
        <v>3.6939510000000002</v>
      </c>
      <c r="G43" s="24">
        <v>12.49864</v>
      </c>
    </row>
    <row r="44" spans="1:7" x14ac:dyDescent="0.2">
      <c r="A44" s="21">
        <v>45957</v>
      </c>
      <c r="B44" s="24">
        <v>1.1435709999999999</v>
      </c>
      <c r="C44" s="24">
        <v>0.77319099999999996</v>
      </c>
      <c r="D44" s="24">
        <v>-1.739598</v>
      </c>
      <c r="E44" s="24">
        <v>7.42713</v>
      </c>
      <c r="F44" s="24">
        <v>3.7716850000000002</v>
      </c>
      <c r="G44" s="24">
        <v>12.474990999999999</v>
      </c>
    </row>
    <row r="45" spans="1:7" x14ac:dyDescent="0.2">
      <c r="A45" s="21">
        <v>45958</v>
      </c>
      <c r="B45" s="24">
        <v>1.1341060000000001</v>
      </c>
      <c r="C45" s="24">
        <v>0.78226099999999998</v>
      </c>
      <c r="D45" s="24">
        <v>-1.737754</v>
      </c>
      <c r="E45" s="24">
        <v>7.4219390000000001</v>
      </c>
      <c r="F45" s="24">
        <v>3.770724</v>
      </c>
      <c r="G45" s="24">
        <v>12.470189</v>
      </c>
    </row>
    <row r="46" spans="1:7" x14ac:dyDescent="0.2">
      <c r="A46" s="21">
        <v>45959</v>
      </c>
      <c r="B46" s="24">
        <v>1.1330199999999999</v>
      </c>
      <c r="C46" s="24">
        <v>0.77561999999999998</v>
      </c>
      <c r="D46" s="24">
        <v>-1.6902919999999999</v>
      </c>
      <c r="E46" s="24">
        <v>7.4117540000000002</v>
      </c>
      <c r="F46" s="24">
        <v>3.7026859999999999</v>
      </c>
      <c r="G46" s="24">
        <v>12.487306999999999</v>
      </c>
    </row>
    <row r="47" spans="1:7" x14ac:dyDescent="0.2">
      <c r="A47" s="21">
        <v>45960</v>
      </c>
      <c r="B47" s="24">
        <v>1.1404350000000001</v>
      </c>
      <c r="C47" s="24">
        <v>0.77693699999999999</v>
      </c>
      <c r="D47" s="24">
        <v>-1.4099139999999999</v>
      </c>
      <c r="E47" s="24">
        <v>7.2270760000000003</v>
      </c>
      <c r="F47" s="24">
        <v>3.5538080000000001</v>
      </c>
      <c r="G47" s="24">
        <v>12.857962000000001</v>
      </c>
    </row>
    <row r="48" spans="1:7" x14ac:dyDescent="0.2">
      <c r="A48" s="21">
        <v>45961</v>
      </c>
      <c r="B48" s="24">
        <v>1.1301760000000001</v>
      </c>
      <c r="C48" s="24">
        <v>0.77793800000000002</v>
      </c>
      <c r="D48" s="24">
        <v>-1.3595139999999999</v>
      </c>
      <c r="E48" s="24">
        <v>7.288729</v>
      </c>
      <c r="F48" s="24">
        <v>3.3781370000000002</v>
      </c>
      <c r="G48" s="24">
        <v>13.001583999999999</v>
      </c>
    </row>
    <row r="49" spans="1:7" x14ac:dyDescent="0.2">
      <c r="A49" s="21">
        <v>45964</v>
      </c>
      <c r="B49" s="24">
        <v>1.108662</v>
      </c>
      <c r="C49" s="24">
        <v>0.78851899999999997</v>
      </c>
      <c r="D49" s="24">
        <v>-1.0665290000000001</v>
      </c>
      <c r="E49" s="24">
        <v>7.2500280000000004</v>
      </c>
      <c r="F49" s="24">
        <v>3.249984</v>
      </c>
      <c r="G49" s="24">
        <v>13.626367999999999</v>
      </c>
    </row>
    <row r="50" spans="1:7" x14ac:dyDescent="0.2">
      <c r="A50" s="21">
        <v>45965</v>
      </c>
      <c r="B50" s="24">
        <v>1.1166910000000001</v>
      </c>
      <c r="C50" s="24">
        <v>0.78027299999999999</v>
      </c>
      <c r="D50" s="24">
        <v>-1.100041</v>
      </c>
      <c r="E50" s="24">
        <v>7.2561559999999998</v>
      </c>
      <c r="F50" s="24">
        <v>3.2410890000000001</v>
      </c>
      <c r="G50" s="24">
        <v>13.632654</v>
      </c>
    </row>
    <row r="51" spans="1:7" x14ac:dyDescent="0.2">
      <c r="A51" s="21">
        <v>45966</v>
      </c>
      <c r="B51" s="24">
        <v>1.1110519999999999</v>
      </c>
      <c r="C51" s="24">
        <v>0.77452600000000005</v>
      </c>
      <c r="D51" s="24">
        <v>-1.1815279999999999</v>
      </c>
      <c r="E51" s="24">
        <v>7.3309759999999997</v>
      </c>
      <c r="F51" s="24">
        <v>3.362555</v>
      </c>
      <c r="G51" s="24">
        <v>13.332126000000001</v>
      </c>
    </row>
    <row r="52" spans="1:7" x14ac:dyDescent="0.2">
      <c r="A52" s="21">
        <v>45967</v>
      </c>
      <c r="B52" s="24">
        <v>1.1190800000000001</v>
      </c>
      <c r="C52" s="24">
        <v>0.78482700000000005</v>
      </c>
      <c r="D52" s="24">
        <v>-1.0886769999999999</v>
      </c>
      <c r="E52" s="24">
        <v>7.258089</v>
      </c>
      <c r="F52" s="24">
        <v>3.2446969999999999</v>
      </c>
      <c r="G52" s="24">
        <v>13.623220999999999</v>
      </c>
    </row>
    <row r="53" spans="1:7" x14ac:dyDescent="0.2">
      <c r="A53" s="21">
        <v>45968</v>
      </c>
      <c r="B53" s="24">
        <v>1.1233310000000001</v>
      </c>
      <c r="C53" s="24">
        <v>0.79576499999999994</v>
      </c>
      <c r="D53" s="24">
        <v>-1.7813699999999999</v>
      </c>
      <c r="E53" s="24">
        <v>7.7518079999999996</v>
      </c>
      <c r="F53" s="24">
        <v>3.8884660000000002</v>
      </c>
      <c r="G53" s="24">
        <v>12.584448999999999</v>
      </c>
    </row>
    <row r="54" spans="1:7" x14ac:dyDescent="0.2">
      <c r="A54" s="21">
        <v>45971</v>
      </c>
      <c r="B54" s="24">
        <v>1.134436</v>
      </c>
      <c r="C54" s="24">
        <v>0.79760600000000004</v>
      </c>
      <c r="D54" s="24">
        <v>-1.3024530000000001</v>
      </c>
      <c r="E54" s="24">
        <v>7.3667879999999997</v>
      </c>
      <c r="F54" s="24">
        <v>3.3210929999999999</v>
      </c>
      <c r="G54" s="24">
        <v>13.254163999999999</v>
      </c>
    </row>
    <row r="55" spans="1:7" x14ac:dyDescent="0.2">
      <c r="A55" s="21">
        <v>45972</v>
      </c>
      <c r="B55" s="24">
        <v>1.139079</v>
      </c>
      <c r="C55" s="24">
        <v>0.79463700000000004</v>
      </c>
      <c r="D55" s="24">
        <v>-1.098646</v>
      </c>
      <c r="E55" s="24">
        <v>7.2039809999999997</v>
      </c>
      <c r="F55" s="24">
        <v>3.107783</v>
      </c>
      <c r="G55" s="24">
        <v>13.656261000000001</v>
      </c>
    </row>
    <row r="56" spans="1:7" x14ac:dyDescent="0.2">
      <c r="A56" s="21">
        <v>45973</v>
      </c>
      <c r="B56" s="24">
        <v>1.133456</v>
      </c>
      <c r="C56" s="24">
        <v>0.80215099999999995</v>
      </c>
      <c r="D56" s="24">
        <v>-1.6533389999999999</v>
      </c>
      <c r="E56" s="24">
        <v>7.493099</v>
      </c>
      <c r="F56" s="24">
        <v>3.7814260000000002</v>
      </c>
      <c r="G56" s="24">
        <v>12.765153</v>
      </c>
    </row>
    <row r="57" spans="1:7" x14ac:dyDescent="0.2">
      <c r="A57" s="21">
        <v>45974</v>
      </c>
      <c r="B57" s="24">
        <v>1.1199129999999999</v>
      </c>
      <c r="C57" s="24">
        <v>0.78597799999999995</v>
      </c>
      <c r="D57" s="24">
        <v>-1.4079379999999999</v>
      </c>
      <c r="E57" s="24">
        <v>7.5197459999999996</v>
      </c>
      <c r="F57" s="24">
        <v>3.9539049999999998</v>
      </c>
      <c r="G57" s="24">
        <v>13.239443</v>
      </c>
    </row>
    <row r="58" spans="1:7" x14ac:dyDescent="0.2">
      <c r="A58" s="21">
        <v>45975</v>
      </c>
      <c r="B58" s="24">
        <v>1.1083590000000001</v>
      </c>
      <c r="C58" s="24">
        <v>0.77777799999999997</v>
      </c>
      <c r="D58" s="24">
        <v>-0.83835000000000004</v>
      </c>
      <c r="E58" s="24">
        <v>7.3708229999999997</v>
      </c>
      <c r="F58" s="24">
        <v>3.2145049999999999</v>
      </c>
      <c r="G58" s="24">
        <v>14.078389</v>
      </c>
    </row>
    <row r="59" spans="1:7" x14ac:dyDescent="0.2">
      <c r="A59" s="21">
        <v>45978</v>
      </c>
      <c r="B59" s="24">
        <v>1.1198429999999999</v>
      </c>
      <c r="C59" s="24">
        <v>0.78911699999999996</v>
      </c>
      <c r="D59" s="24">
        <v>-0.87392899999999996</v>
      </c>
      <c r="E59" s="24">
        <v>7.3785189999999998</v>
      </c>
      <c r="F59" s="24">
        <v>3.2067070000000002</v>
      </c>
      <c r="G59" s="24">
        <v>14.084256</v>
      </c>
    </row>
    <row r="60" spans="1:7" x14ac:dyDescent="0.2">
      <c r="A60" s="21">
        <v>45979</v>
      </c>
      <c r="B60" s="24">
        <v>1.131105</v>
      </c>
      <c r="C60" s="24">
        <v>0.78753300000000004</v>
      </c>
      <c r="D60" s="24">
        <v>-1.465956</v>
      </c>
      <c r="E60" s="24">
        <v>7.6168149999999999</v>
      </c>
      <c r="F60" s="24">
        <v>3.6206700000000001</v>
      </c>
      <c r="G60" s="24">
        <v>13.073271999999999</v>
      </c>
    </row>
    <row r="61" spans="1:7" x14ac:dyDescent="0.2">
      <c r="A61" s="21">
        <v>45980</v>
      </c>
      <c r="B61" s="24">
        <v>1.150347</v>
      </c>
      <c r="C61" s="24">
        <v>0.80564499999999994</v>
      </c>
      <c r="D61" s="24">
        <v>-1.632309</v>
      </c>
      <c r="E61" s="24">
        <v>7.6695770000000003</v>
      </c>
      <c r="F61" s="24">
        <v>3.5582259999999999</v>
      </c>
      <c r="G61" s="24">
        <v>12.77251</v>
      </c>
    </row>
    <row r="62" spans="1:7" x14ac:dyDescent="0.2">
      <c r="A62" s="21">
        <v>45981</v>
      </c>
      <c r="B62" s="24">
        <v>1.1618869999999999</v>
      </c>
      <c r="C62" s="24">
        <v>0.80164899999999994</v>
      </c>
      <c r="D62" s="24">
        <v>-2.3416600000000001</v>
      </c>
      <c r="E62" s="24">
        <v>8.2707820000000005</v>
      </c>
      <c r="F62" s="24">
        <v>4.1654650000000002</v>
      </c>
      <c r="G62" s="24">
        <v>11.959327999999999</v>
      </c>
    </row>
    <row r="63" spans="1:7" x14ac:dyDescent="0.2">
      <c r="A63" s="21">
        <v>45982</v>
      </c>
      <c r="B63" s="24">
        <v>1.153408</v>
      </c>
      <c r="C63" s="24">
        <v>0.80629799999999996</v>
      </c>
      <c r="D63" s="24">
        <v>-1.5622050000000001</v>
      </c>
      <c r="E63" s="24">
        <v>7.6596950000000001</v>
      </c>
      <c r="F63" s="24">
        <v>3.3638270000000001</v>
      </c>
      <c r="G63" s="24">
        <v>12.998535</v>
      </c>
    </row>
    <row r="64" spans="1:7" x14ac:dyDescent="0.2">
      <c r="A64" s="21">
        <v>45985</v>
      </c>
      <c r="B64" s="24">
        <v>1.149867</v>
      </c>
      <c r="C64" s="24">
        <v>0.78609499999999999</v>
      </c>
      <c r="D64" s="24">
        <v>-2.3741289999999999</v>
      </c>
      <c r="E64" s="24">
        <v>8.2938299999999998</v>
      </c>
      <c r="F64" s="24">
        <v>4.4042050000000001</v>
      </c>
      <c r="G64" s="24">
        <v>12.042068</v>
      </c>
    </row>
    <row r="65" spans="1:7" x14ac:dyDescent="0.2">
      <c r="A65" s="21">
        <v>45986</v>
      </c>
      <c r="B65" s="24">
        <v>1.1501760000000001</v>
      </c>
      <c r="C65" s="24">
        <v>0.78963700000000003</v>
      </c>
      <c r="D65" s="24">
        <v>-1.5922339999999999</v>
      </c>
      <c r="E65" s="24">
        <v>7.6498059999999999</v>
      </c>
      <c r="F65" s="24">
        <v>3.8300519999999998</v>
      </c>
      <c r="G65" s="24">
        <v>13.235184</v>
      </c>
    </row>
    <row r="66" spans="1:7" x14ac:dyDescent="0.2">
      <c r="A66" s="21">
        <v>45987</v>
      </c>
      <c r="B66" s="24">
        <v>1.1664810000000001</v>
      </c>
      <c r="C66" s="24">
        <v>0.77671999999999997</v>
      </c>
      <c r="D66" s="24">
        <v>-1.6063769999999999</v>
      </c>
      <c r="E66" s="24">
        <v>7.6603339999999998</v>
      </c>
      <c r="F66" s="24">
        <v>3.8237719999999999</v>
      </c>
      <c r="G66" s="24">
        <v>13.242881000000001</v>
      </c>
    </row>
    <row r="67" spans="1:7" x14ac:dyDescent="0.2">
      <c r="A67" s="21">
        <v>45988</v>
      </c>
      <c r="B67" s="24">
        <v>1.163635</v>
      </c>
      <c r="C67" s="24">
        <v>0.78667500000000001</v>
      </c>
      <c r="D67" s="24">
        <v>-1.613327</v>
      </c>
      <c r="E67" s="24">
        <v>7.6550799999999999</v>
      </c>
      <c r="F67" s="24">
        <v>3.8259979999999998</v>
      </c>
      <c r="G67" s="24">
        <v>13.245956</v>
      </c>
    </row>
    <row r="68" spans="1:7" x14ac:dyDescent="0.2">
      <c r="A68" s="21">
        <v>45989</v>
      </c>
      <c r="B68" s="24">
        <v>1.1678139999999999</v>
      </c>
      <c r="C68" s="24">
        <v>0.78960399999999997</v>
      </c>
      <c r="D68" s="24">
        <v>-1.6004160000000001</v>
      </c>
      <c r="E68" s="24">
        <v>7.6556499999999996</v>
      </c>
      <c r="F68" s="24">
        <v>3.8285300000000002</v>
      </c>
      <c r="G68" s="24">
        <v>13.240297</v>
      </c>
    </row>
    <row r="69" spans="1:7" x14ac:dyDescent="0.2">
      <c r="A69" s="21">
        <v>45992</v>
      </c>
      <c r="B69" s="24">
        <v>1.217225</v>
      </c>
      <c r="C69" s="24">
        <v>0.75448000000000004</v>
      </c>
      <c r="D69" s="24">
        <v>-1.5475989999999999</v>
      </c>
      <c r="E69" s="24">
        <v>7.7035920000000004</v>
      </c>
      <c r="F69" s="24">
        <v>3.7127029999999999</v>
      </c>
      <c r="G69" s="24">
        <v>13.166183</v>
      </c>
    </row>
    <row r="70" spans="1:7" x14ac:dyDescent="0.2">
      <c r="A70" s="21">
        <v>45993</v>
      </c>
      <c r="B70" s="24">
        <v>1.222308</v>
      </c>
      <c r="C70" s="24">
        <v>0.74054600000000004</v>
      </c>
      <c r="D70" s="24">
        <v>-0.38531500000000002</v>
      </c>
      <c r="E70" s="24">
        <v>7.233231</v>
      </c>
      <c r="F70" s="24">
        <v>2.0508299999999999</v>
      </c>
      <c r="G70" s="24">
        <v>15.366702999999999</v>
      </c>
    </row>
    <row r="71" spans="1:7" x14ac:dyDescent="0.2">
      <c r="A71" s="21">
        <v>45994</v>
      </c>
      <c r="B71" s="24">
        <v>1.2150000000000001</v>
      </c>
      <c r="C71" s="24">
        <v>0.743085</v>
      </c>
      <c r="D71" s="24">
        <v>-1.0345230000000001</v>
      </c>
      <c r="E71" s="24">
        <v>7.4153700000000002</v>
      </c>
      <c r="F71" s="24">
        <v>3.164005</v>
      </c>
      <c r="G71" s="24">
        <v>14.198180000000001</v>
      </c>
    </row>
    <row r="72" spans="1:7" x14ac:dyDescent="0.2">
      <c r="A72" s="21">
        <v>45995</v>
      </c>
      <c r="B72" s="24">
        <v>1.221217</v>
      </c>
      <c r="C72" s="24">
        <v>0.74377700000000002</v>
      </c>
      <c r="D72" s="24">
        <v>-0.97554099999999999</v>
      </c>
      <c r="E72" s="24">
        <v>7.4104599999999996</v>
      </c>
      <c r="F72" s="24">
        <v>3.181209</v>
      </c>
      <c r="G72" s="24">
        <v>14.180324000000001</v>
      </c>
    </row>
    <row r="73" spans="1:7" x14ac:dyDescent="0.2">
      <c r="A73" s="21">
        <v>45996</v>
      </c>
      <c r="B73" s="24">
        <v>1.227716</v>
      </c>
      <c r="C73" s="24">
        <v>0.74429599999999996</v>
      </c>
      <c r="D73" s="24">
        <v>-0.488319</v>
      </c>
      <c r="E73" s="24">
        <v>7.3247949999999999</v>
      </c>
      <c r="F73" s="24">
        <v>2.3569499999999999</v>
      </c>
      <c r="G73" s="24">
        <v>15.125037000000001</v>
      </c>
    </row>
    <row r="74" spans="1:7" x14ac:dyDescent="0.2">
      <c r="A74" s="21">
        <v>45999</v>
      </c>
      <c r="B74" s="24">
        <v>1.189109</v>
      </c>
      <c r="C74" s="24">
        <v>0.74923799999999996</v>
      </c>
      <c r="D74" s="24">
        <v>-0.49503399999999997</v>
      </c>
      <c r="E74" s="24">
        <v>7.5432180000000004</v>
      </c>
      <c r="F74" s="24">
        <v>3.2417539999999998</v>
      </c>
      <c r="G74" s="24">
        <v>14.770030999999999</v>
      </c>
    </row>
    <row r="75" spans="1:7" x14ac:dyDescent="0.2">
      <c r="A75" s="21">
        <v>46000</v>
      </c>
      <c r="B75" s="24">
        <v>1.1884520000000001</v>
      </c>
      <c r="C75" s="24">
        <v>0.76356100000000005</v>
      </c>
      <c r="D75" s="24">
        <v>-0.52854400000000001</v>
      </c>
      <c r="E75" s="24">
        <v>7.544327</v>
      </c>
      <c r="F75" s="24">
        <v>3.230972</v>
      </c>
      <c r="G75" s="24">
        <v>14.772251000000001</v>
      </c>
    </row>
    <row r="76" spans="1:7" x14ac:dyDescent="0.2">
      <c r="A76" s="21">
        <v>46001</v>
      </c>
      <c r="B76" s="24">
        <v>1.1725840000000001</v>
      </c>
      <c r="C76" s="24">
        <v>0.76314700000000002</v>
      </c>
      <c r="D76" s="24">
        <v>-0.38673999999999997</v>
      </c>
      <c r="E76" s="24">
        <v>7.533944</v>
      </c>
      <c r="F76" s="24">
        <v>3.4299650000000002</v>
      </c>
      <c r="G76" s="24">
        <v>14.997863000000001</v>
      </c>
    </row>
    <row r="77" spans="1:7" x14ac:dyDescent="0.2">
      <c r="A77" s="21">
        <v>46002</v>
      </c>
      <c r="B77" s="24">
        <v>1.177888</v>
      </c>
      <c r="C77" s="24">
        <v>0.76773599999999997</v>
      </c>
      <c r="D77" s="24">
        <v>-0.62878299999999998</v>
      </c>
      <c r="E77" s="24">
        <v>7.5545030000000004</v>
      </c>
      <c r="F77" s="24">
        <v>3.679945</v>
      </c>
      <c r="G77" s="24">
        <v>14.614706999999999</v>
      </c>
    </row>
    <row r="78" spans="1:7" x14ac:dyDescent="0.2">
      <c r="A78" s="21">
        <v>46003</v>
      </c>
      <c r="B78" s="24">
        <v>1.1877279999999999</v>
      </c>
      <c r="C78" s="24">
        <v>0.74818799999999996</v>
      </c>
      <c r="D78" s="24">
        <v>-0.72710600000000003</v>
      </c>
      <c r="E78" s="24">
        <v>7.7043600000000003</v>
      </c>
      <c r="F78" s="24">
        <v>3.901659</v>
      </c>
      <c r="G78" s="24">
        <v>14.454715</v>
      </c>
    </row>
    <row r="79" spans="1:7" x14ac:dyDescent="0.2">
      <c r="A79" s="21">
        <v>46006</v>
      </c>
      <c r="B79" s="24">
        <v>1.1920040000000001</v>
      </c>
      <c r="C79" s="24">
        <v>0.75171200000000005</v>
      </c>
      <c r="D79" s="24">
        <v>-0.67563700000000004</v>
      </c>
      <c r="E79" s="24">
        <v>7.5643339999999997</v>
      </c>
      <c r="F79" s="24">
        <v>3.6635469999999999</v>
      </c>
      <c r="G79" s="24">
        <v>14.621366</v>
      </c>
    </row>
    <row r="80" spans="1:7" x14ac:dyDescent="0.2">
      <c r="A80" s="21">
        <v>46007</v>
      </c>
      <c r="B80" s="24">
        <v>1.1878919999999999</v>
      </c>
      <c r="C80" s="24">
        <v>0.73751800000000001</v>
      </c>
      <c r="D80" s="24">
        <v>-0.74939500000000003</v>
      </c>
      <c r="E80" s="24">
        <v>7.7052269999999998</v>
      </c>
      <c r="F80" s="24">
        <v>3.8895949999999999</v>
      </c>
      <c r="G80" s="24">
        <v>14.452475</v>
      </c>
    </row>
    <row r="81" spans="1:7" x14ac:dyDescent="0.2">
      <c r="A81" s="21">
        <v>46008</v>
      </c>
      <c r="B81" s="24">
        <v>1.18672</v>
      </c>
      <c r="C81" s="24">
        <v>0.74152799999999996</v>
      </c>
      <c r="D81" s="24">
        <v>-0.68184800000000001</v>
      </c>
      <c r="E81" s="24">
        <v>7.6715499999999999</v>
      </c>
      <c r="F81" s="24">
        <v>3.4861939999999998</v>
      </c>
      <c r="G81" s="24">
        <v>14.382561000000001</v>
      </c>
    </row>
    <row r="82" spans="1:7" x14ac:dyDescent="0.2">
      <c r="A82" s="21">
        <v>46009</v>
      </c>
      <c r="B82" s="24">
        <v>1.1942140000000001</v>
      </c>
      <c r="C82" s="24">
        <v>0.75084099999999998</v>
      </c>
      <c r="D82" s="24">
        <v>0.183971</v>
      </c>
      <c r="E82" s="24">
        <v>7.600841</v>
      </c>
      <c r="F82" s="24">
        <v>1.3823510000000001</v>
      </c>
      <c r="G82" s="24">
        <v>15.308368</v>
      </c>
    </row>
    <row r="83" spans="1:7" x14ac:dyDescent="0.2">
      <c r="A83" s="21">
        <v>46010</v>
      </c>
      <c r="B83" s="24">
        <v>1.197112</v>
      </c>
      <c r="C83" s="24">
        <v>0.74862499999999998</v>
      </c>
      <c r="D83" s="24">
        <v>-0.32062400000000002</v>
      </c>
      <c r="E83" s="24">
        <v>7.7265300000000003</v>
      </c>
      <c r="F83" s="24">
        <v>2.7068490000000001</v>
      </c>
      <c r="G83" s="24">
        <v>15.159072999999999</v>
      </c>
    </row>
    <row r="84" spans="1:7" x14ac:dyDescent="0.2">
      <c r="A84" s="21">
        <v>46013</v>
      </c>
      <c r="B84" s="24">
        <v>1.167643</v>
      </c>
      <c r="C84" s="24">
        <v>0.76713100000000001</v>
      </c>
      <c r="D84" s="24">
        <v>0.12016</v>
      </c>
      <c r="E84" s="24">
        <v>7.7871189999999997</v>
      </c>
      <c r="F84" s="24">
        <v>1.678331</v>
      </c>
      <c r="G84" s="24">
        <v>15.072587</v>
      </c>
    </row>
    <row r="85" spans="1:7" x14ac:dyDescent="0.2">
      <c r="A85" s="21">
        <v>46014</v>
      </c>
      <c r="B85" s="24">
        <v>1.1720429999999999</v>
      </c>
      <c r="C85" s="24">
        <v>0.77467399999999997</v>
      </c>
      <c r="D85" s="24">
        <v>-0.21446999999999999</v>
      </c>
      <c r="E85" s="24">
        <v>7.6299469999999996</v>
      </c>
      <c r="F85" s="24">
        <v>2.538694</v>
      </c>
      <c r="G85" s="24">
        <v>15.097715000000001</v>
      </c>
    </row>
    <row r="86" spans="1:7" x14ac:dyDescent="0.2">
      <c r="A86" s="21">
        <v>46015</v>
      </c>
      <c r="B86" s="24">
        <v>1.1584970000000001</v>
      </c>
      <c r="C86" s="24">
        <v>0.80084</v>
      </c>
      <c r="D86" s="24">
        <v>-0.29933399999999999</v>
      </c>
      <c r="E86" s="24">
        <v>7.6765489999999996</v>
      </c>
      <c r="F86" s="24">
        <v>2.624638</v>
      </c>
      <c r="G86" s="24">
        <v>14.867455</v>
      </c>
    </row>
    <row r="87" spans="1:7" x14ac:dyDescent="0.2">
      <c r="A87" s="21">
        <v>46020</v>
      </c>
      <c r="B87" s="24">
        <v>1.159508</v>
      </c>
      <c r="C87" s="24">
        <v>0.80461700000000003</v>
      </c>
      <c r="D87" s="24">
        <v>0.35584700000000002</v>
      </c>
      <c r="E87" s="24">
        <v>7.6140319999999999</v>
      </c>
      <c r="F87" s="24">
        <v>1.0631299999999999</v>
      </c>
      <c r="G87" s="24">
        <v>15.132234</v>
      </c>
    </row>
    <row r="88" spans="1:7" x14ac:dyDescent="0.2">
      <c r="A88" s="21">
        <v>46021</v>
      </c>
      <c r="B88" s="24">
        <v>1.1582749999999999</v>
      </c>
      <c r="C88" s="24">
        <v>0.78171999999999997</v>
      </c>
      <c r="D88" s="24">
        <v>-0.32794299999999998</v>
      </c>
      <c r="E88" s="24">
        <v>7.6669530000000004</v>
      </c>
      <c r="F88" s="24">
        <v>2.6278830000000002</v>
      </c>
      <c r="G88" s="24">
        <v>14.882122000000001</v>
      </c>
    </row>
    <row r="89" spans="1:7" x14ac:dyDescent="0.2">
      <c r="A89" s="21">
        <v>46022</v>
      </c>
      <c r="B89" s="24">
        <v>1.1672070000000001</v>
      </c>
      <c r="C89" s="24">
        <v>0.80590600000000001</v>
      </c>
      <c r="D89" s="24">
        <v>-0.39241199999999998</v>
      </c>
      <c r="E89" s="24">
        <v>7.6678189999999997</v>
      </c>
      <c r="F89" s="24">
        <v>2.5954549999999998</v>
      </c>
      <c r="G89" s="24">
        <v>14.88044</v>
      </c>
    </row>
    <row r="90" spans="1:7" x14ac:dyDescent="0.2">
      <c r="A90" s="21">
        <v>46024</v>
      </c>
      <c r="B90" s="24">
        <v>1.1626320000000001</v>
      </c>
      <c r="C90" s="24">
        <v>0.78678000000000003</v>
      </c>
      <c r="D90" s="24">
        <v>-0.28679500000000002</v>
      </c>
      <c r="E90" s="24">
        <v>7.7550829999999999</v>
      </c>
      <c r="F90" s="24">
        <v>2.4728029999999999</v>
      </c>
      <c r="G90" s="24">
        <v>14.888612</v>
      </c>
    </row>
    <row r="91" spans="1:7" x14ac:dyDescent="0.2">
      <c r="A91" s="21">
        <v>46027</v>
      </c>
      <c r="B91" s="24">
        <v>1.1576390000000001</v>
      </c>
      <c r="C91" s="24">
        <v>0.78691199999999994</v>
      </c>
      <c r="D91" s="24">
        <v>-1.0820190000000001</v>
      </c>
      <c r="E91" s="24">
        <v>8.0634239999999995</v>
      </c>
      <c r="F91" s="24">
        <v>4.1301560000000004</v>
      </c>
      <c r="G91" s="24">
        <v>13.931538</v>
      </c>
    </row>
    <row r="92" spans="1:7" x14ac:dyDescent="0.2">
      <c r="A92" s="21">
        <v>46028</v>
      </c>
      <c r="B92" s="24">
        <v>1.1705300000000001</v>
      </c>
      <c r="C92" s="24">
        <v>0.79178999999999999</v>
      </c>
      <c r="D92" s="24">
        <v>-0.46165699999999998</v>
      </c>
      <c r="E92" s="24">
        <v>7.6394529999999996</v>
      </c>
      <c r="F92" s="24">
        <v>2.567571</v>
      </c>
      <c r="G92" s="24">
        <v>14.885918999999999</v>
      </c>
    </row>
    <row r="93" spans="1:7" x14ac:dyDescent="0.2">
      <c r="A93" s="21">
        <v>46029</v>
      </c>
      <c r="B93" s="24">
        <v>1.171897</v>
      </c>
      <c r="C93" s="24">
        <v>0.79671700000000001</v>
      </c>
      <c r="D93" s="24">
        <v>-0.52054299999999998</v>
      </c>
      <c r="E93" s="24">
        <v>7.5962569999999996</v>
      </c>
      <c r="F93" s="24">
        <v>2.551266</v>
      </c>
      <c r="G93" s="24">
        <v>14.892976000000001</v>
      </c>
    </row>
    <row r="94" spans="1:7" x14ac:dyDescent="0.2">
      <c r="A94" s="21">
        <v>46030</v>
      </c>
      <c r="B94" s="24">
        <v>1.164059</v>
      </c>
      <c r="C94" s="24">
        <v>0.78934199999999999</v>
      </c>
      <c r="D94" s="24">
        <v>-0.43919599999999998</v>
      </c>
      <c r="E94" s="24">
        <v>7.6342730000000003</v>
      </c>
      <c r="F94" s="24">
        <v>2.575539</v>
      </c>
      <c r="G94" s="24">
        <v>14.879826</v>
      </c>
    </row>
    <row r="95" spans="1:7" x14ac:dyDescent="0.2">
      <c r="A95" s="21">
        <v>46031</v>
      </c>
      <c r="B95" s="24">
        <v>1.178814</v>
      </c>
      <c r="C95" s="24">
        <v>0.79041300000000003</v>
      </c>
      <c r="D95" s="24">
        <v>-1.3222480000000001</v>
      </c>
      <c r="E95" s="24">
        <v>8.0352630000000005</v>
      </c>
      <c r="F95" s="24">
        <v>3.8941530000000002</v>
      </c>
      <c r="G95" s="24">
        <v>13.610309000000001</v>
      </c>
    </row>
    <row r="96" spans="1:7" x14ac:dyDescent="0.2">
      <c r="A96" s="21">
        <v>46034</v>
      </c>
      <c r="B96" s="24">
        <v>1.152039</v>
      </c>
      <c r="C96" s="24">
        <v>0.82865100000000003</v>
      </c>
      <c r="D96" s="24">
        <v>-0.48908200000000002</v>
      </c>
      <c r="E96" s="24">
        <v>7.5689320000000002</v>
      </c>
      <c r="F96" s="24">
        <v>2.5681989999999999</v>
      </c>
      <c r="G96" s="24">
        <v>14.889392000000001</v>
      </c>
    </row>
    <row r="97" spans="1:7" x14ac:dyDescent="0.2">
      <c r="A97" s="21">
        <v>46035</v>
      </c>
      <c r="B97" s="24">
        <v>1.1626860000000001</v>
      </c>
      <c r="C97" s="24">
        <v>0.82637799999999995</v>
      </c>
      <c r="D97" s="24">
        <v>-0.248694</v>
      </c>
      <c r="E97" s="24">
        <v>7.5949749999999998</v>
      </c>
      <c r="F97" s="24">
        <v>2.0209299999999999</v>
      </c>
      <c r="G97" s="24">
        <v>15.274082</v>
      </c>
    </row>
    <row r="98" spans="1:7" x14ac:dyDescent="0.2">
      <c r="A98" s="21">
        <v>46036</v>
      </c>
      <c r="B98" s="24">
        <v>1.162366</v>
      </c>
      <c r="C98" s="24">
        <v>0.82449799999999995</v>
      </c>
      <c r="D98" s="24">
        <v>-8.4164000000000003E-2</v>
      </c>
      <c r="E98" s="24">
        <v>7.5326279999999999</v>
      </c>
      <c r="F98" s="24">
        <v>1.6493</v>
      </c>
      <c r="G98" s="24">
        <v>15.539031</v>
      </c>
    </row>
    <row r="99" spans="1:7" x14ac:dyDescent="0.2">
      <c r="A99" s="21">
        <v>46037</v>
      </c>
      <c r="B99" s="24">
        <v>1.1631800000000001</v>
      </c>
      <c r="C99" s="24">
        <v>0.82245999999999997</v>
      </c>
      <c r="D99" s="24">
        <v>2.8479999999999998E-3</v>
      </c>
      <c r="E99" s="24">
        <v>7.3831860000000002</v>
      </c>
      <c r="F99" s="24">
        <v>1.5673619999999999</v>
      </c>
      <c r="G99" s="24">
        <v>15.355162999999999</v>
      </c>
    </row>
    <row r="100" spans="1:7" x14ac:dyDescent="0.2">
      <c r="A100" s="21">
        <v>46038</v>
      </c>
      <c r="B100" s="24">
        <v>1.1834150000000001</v>
      </c>
      <c r="C100" s="24">
        <v>0.79304300000000005</v>
      </c>
      <c r="D100" s="24">
        <v>4.088E-2</v>
      </c>
      <c r="E100" s="24">
        <v>7.3900629999999996</v>
      </c>
      <c r="F100" s="24">
        <v>1.5875699999999999</v>
      </c>
      <c r="G100" s="24">
        <v>15.347239999999999</v>
      </c>
    </row>
    <row r="101" spans="1:7" x14ac:dyDescent="0.2">
      <c r="A101" s="21">
        <v>46041</v>
      </c>
      <c r="B101" s="24">
        <v>1.187783</v>
      </c>
      <c r="C101" s="24">
        <v>0.80737300000000001</v>
      </c>
      <c r="D101" s="24">
        <v>-0.29112500000000002</v>
      </c>
      <c r="E101" s="24">
        <v>7.4514399999999998</v>
      </c>
      <c r="F101" s="24">
        <v>1.9078759999999999</v>
      </c>
      <c r="G101" s="24">
        <v>15.159114000000001</v>
      </c>
    </row>
    <row r="102" spans="1:7" x14ac:dyDescent="0.2">
      <c r="A102" s="21">
        <v>46042</v>
      </c>
      <c r="B102" s="24">
        <v>1.1865790000000001</v>
      </c>
      <c r="C102" s="24">
        <v>0.79327800000000004</v>
      </c>
      <c r="D102" s="24">
        <v>-7.8001000000000001E-2</v>
      </c>
      <c r="E102" s="24">
        <v>7.6539760000000001</v>
      </c>
      <c r="F102" s="24">
        <v>1.4640219999999999</v>
      </c>
      <c r="G102" s="24">
        <v>15.319129</v>
      </c>
    </row>
    <row r="103" spans="1:7" x14ac:dyDescent="0.2">
      <c r="A103" s="21">
        <v>46043</v>
      </c>
      <c r="B103" s="24">
        <v>1.192377</v>
      </c>
      <c r="C103" s="24">
        <v>0.77556000000000003</v>
      </c>
      <c r="D103" s="24">
        <v>-6.9959999999999994E-2</v>
      </c>
      <c r="E103" s="24">
        <v>7.6552150000000001</v>
      </c>
      <c r="F103" s="24">
        <v>1.465454</v>
      </c>
      <c r="G103" s="24">
        <v>15.310734</v>
      </c>
    </row>
    <row r="104" spans="1:7" x14ac:dyDescent="0.2">
      <c r="A104" s="21">
        <v>46044</v>
      </c>
      <c r="B104" s="24">
        <v>1.1949430000000001</v>
      </c>
      <c r="C104" s="24">
        <v>0.78660699999999995</v>
      </c>
      <c r="D104" s="24">
        <v>3.339E-3</v>
      </c>
      <c r="E104" s="24">
        <v>7.5907220000000004</v>
      </c>
      <c r="F104" s="24">
        <v>1.5045269999999999</v>
      </c>
      <c r="G104" s="24">
        <v>15.314726</v>
      </c>
    </row>
    <row r="105" spans="1:7" x14ac:dyDescent="0.2">
      <c r="A105" s="21">
        <v>46045</v>
      </c>
      <c r="B105" s="24">
        <v>1.1902459999999999</v>
      </c>
      <c r="C105" s="24">
        <v>0.77342599999999995</v>
      </c>
      <c r="D105" s="24">
        <v>9.0567999999999996E-2</v>
      </c>
      <c r="E105" s="24">
        <v>7.6365220000000003</v>
      </c>
      <c r="F105" s="24">
        <v>1.558354</v>
      </c>
      <c r="G105" s="24">
        <v>15.470363000000001</v>
      </c>
    </row>
    <row r="106" spans="1:7" x14ac:dyDescent="0.2">
      <c r="A106" s="21">
        <v>46048</v>
      </c>
      <c r="B106" s="24">
        <v>1.201786</v>
      </c>
      <c r="C106" s="24">
        <v>0.77537599999999995</v>
      </c>
      <c r="D106" s="24">
        <v>7.6973E-2</v>
      </c>
      <c r="E106" s="24">
        <v>7.5099869999999997</v>
      </c>
      <c r="F106" s="24">
        <v>1.4397930000000001</v>
      </c>
      <c r="G106" s="24">
        <v>15.524957000000001</v>
      </c>
    </row>
    <row r="107" spans="1:7" x14ac:dyDescent="0.2">
      <c r="A107" s="21">
        <v>46049</v>
      </c>
      <c r="B107" s="24">
        <v>1.2102919999999999</v>
      </c>
      <c r="C107" s="24">
        <v>0.775953</v>
      </c>
      <c r="D107" s="24">
        <v>3.2379999999999999E-2</v>
      </c>
      <c r="E107" s="24">
        <v>7.5276439999999996</v>
      </c>
      <c r="F107" s="24">
        <v>1.417111</v>
      </c>
      <c r="G107" s="24">
        <v>15.530257000000001</v>
      </c>
    </row>
    <row r="108" spans="1:7" x14ac:dyDescent="0.2">
      <c r="A108" s="21">
        <v>46050</v>
      </c>
      <c r="B108" s="24">
        <v>1.2145809999999999</v>
      </c>
      <c r="C108" s="24">
        <v>0.76437200000000005</v>
      </c>
      <c r="D108" s="24">
        <v>-3.4500000000000003E-2</v>
      </c>
      <c r="E108" s="24">
        <v>7.5334779999999997</v>
      </c>
      <c r="F108" s="24">
        <v>1.3804209999999999</v>
      </c>
      <c r="G108" s="24">
        <v>15.548828</v>
      </c>
    </row>
    <row r="109" spans="1:7" x14ac:dyDescent="0.2">
      <c r="A109" s="21">
        <v>46051</v>
      </c>
      <c r="B109" s="24">
        <v>1.1856960000000001</v>
      </c>
      <c r="C109" s="24">
        <v>0.74960700000000002</v>
      </c>
      <c r="D109" s="24">
        <v>-9.6652000000000002E-2</v>
      </c>
      <c r="E109" s="24">
        <v>7.659662</v>
      </c>
      <c r="F109" s="24">
        <v>1.665456</v>
      </c>
      <c r="G109" s="24">
        <v>15.973542</v>
      </c>
    </row>
    <row r="110" spans="1:7" x14ac:dyDescent="0.2">
      <c r="A110" s="21">
        <v>46052</v>
      </c>
      <c r="B110" s="24">
        <v>1.209071</v>
      </c>
      <c r="C110" s="24">
        <v>0.76821300000000003</v>
      </c>
      <c r="D110" s="24">
        <v>-0.32819999999999999</v>
      </c>
      <c r="E110" s="24">
        <v>7.6049499999999997</v>
      </c>
      <c r="F110" s="24">
        <v>1.954923</v>
      </c>
      <c r="G110" s="24">
        <v>15.628045</v>
      </c>
    </row>
    <row r="111" spans="1:7" x14ac:dyDescent="0.2">
      <c r="A111" s="21">
        <v>46055</v>
      </c>
      <c r="B111" s="24">
        <v>1.2039979999999999</v>
      </c>
      <c r="C111" s="24">
        <v>0.767428</v>
      </c>
      <c r="D111" s="24">
        <v>-7.0660000000000002E-3</v>
      </c>
      <c r="E111" s="24">
        <v>7.6460020000000002</v>
      </c>
      <c r="F111" s="24">
        <v>1.4633830000000001</v>
      </c>
      <c r="G111" s="24">
        <v>15.882149</v>
      </c>
    </row>
    <row r="112" spans="1:7" x14ac:dyDescent="0.2">
      <c r="A112" s="21">
        <v>46056</v>
      </c>
      <c r="B112" s="24">
        <v>1.236882</v>
      </c>
      <c r="C112" s="24">
        <v>0.74191700000000005</v>
      </c>
      <c r="D112" s="24">
        <v>-1.2279E-2</v>
      </c>
      <c r="E112" s="24">
        <v>7.6624689999999998</v>
      </c>
      <c r="F112" s="24">
        <v>1.4606429999999999</v>
      </c>
      <c r="G112" s="24">
        <v>15.876507</v>
      </c>
    </row>
    <row r="113" spans="1:7" x14ac:dyDescent="0.2">
      <c r="A113" s="21">
        <v>46057</v>
      </c>
      <c r="B113" s="24">
        <v>1.214235</v>
      </c>
      <c r="C113" s="24">
        <v>0.74785299999999999</v>
      </c>
      <c r="D113" s="24">
        <v>-0.317637</v>
      </c>
      <c r="E113" s="24">
        <v>7.7455590000000001</v>
      </c>
      <c r="F113" s="24">
        <v>2.0874440000000001</v>
      </c>
      <c r="G113" s="24">
        <v>15.843154</v>
      </c>
    </row>
    <row r="114" spans="1:7" x14ac:dyDescent="0.2">
      <c r="A114" s="21">
        <v>46058</v>
      </c>
      <c r="B114" s="24">
        <v>1.2149049999999999</v>
      </c>
      <c r="C114" s="24">
        <v>0.740398</v>
      </c>
      <c r="D114" s="24">
        <v>0.19436300000000001</v>
      </c>
      <c r="E114" s="24">
        <v>7.6966049999999999</v>
      </c>
      <c r="F114" s="24">
        <v>1.1083130000000001</v>
      </c>
      <c r="G114" s="24">
        <v>15.988246999999999</v>
      </c>
    </row>
    <row r="115" spans="1:7" x14ac:dyDescent="0.2">
      <c r="A115" s="21">
        <v>46059</v>
      </c>
      <c r="B115" s="24">
        <v>1.220836</v>
      </c>
      <c r="C115" s="24">
        <v>0.76392499999999997</v>
      </c>
      <c r="D115" s="24">
        <v>-0.168767</v>
      </c>
      <c r="E115" s="24">
        <v>7.6386940000000001</v>
      </c>
      <c r="F115" s="24">
        <v>1.571804</v>
      </c>
      <c r="G115" s="24">
        <v>16.044018999999999</v>
      </c>
    </row>
    <row r="116" spans="1:7" x14ac:dyDescent="0.2">
      <c r="A116" s="21">
        <v>46062</v>
      </c>
      <c r="B116" s="24">
        <v>1.209667</v>
      </c>
      <c r="C116" s="24">
        <v>0.78027000000000002</v>
      </c>
      <c r="D116" s="24">
        <v>0.109056</v>
      </c>
      <c r="E116" s="24">
        <v>7.765377</v>
      </c>
      <c r="F116" s="24">
        <v>1.0591539999999999</v>
      </c>
      <c r="G116" s="24">
        <v>16.277177999999999</v>
      </c>
    </row>
    <row r="117" spans="1:7" x14ac:dyDescent="0.2">
      <c r="A117" s="21">
        <v>46063</v>
      </c>
      <c r="B117" s="24">
        <v>1.206383</v>
      </c>
      <c r="C117" s="24">
        <v>0.75855399999999995</v>
      </c>
      <c r="D117" s="24">
        <v>-0.78993000000000002</v>
      </c>
      <c r="E117" s="24">
        <v>7.683001</v>
      </c>
      <c r="F117" s="24">
        <v>2.763782</v>
      </c>
      <c r="G117" s="24">
        <v>15.233074999999999</v>
      </c>
    </row>
    <row r="118" spans="1:7" x14ac:dyDescent="0.2">
      <c r="A118" s="21">
        <v>46064</v>
      </c>
      <c r="B118" s="24">
        <v>1.227897</v>
      </c>
      <c r="C118" s="24">
        <v>0.75792199999999998</v>
      </c>
      <c r="D118" s="24">
        <v>-0.55855399999999999</v>
      </c>
      <c r="E118" s="24">
        <v>7.5429959999999996</v>
      </c>
      <c r="F118" s="24">
        <v>2.2949009999999999</v>
      </c>
      <c r="G118" s="24">
        <v>15.729194</v>
      </c>
    </row>
    <row r="119" spans="1:7" x14ac:dyDescent="0.2">
      <c r="A119" s="21">
        <v>46065</v>
      </c>
      <c r="B119" s="24">
        <v>1.234089</v>
      </c>
      <c r="C119" s="24">
        <v>0.76611600000000002</v>
      </c>
      <c r="D119" s="24">
        <v>-0.36855900000000003</v>
      </c>
      <c r="E119" s="24">
        <v>7.4155030000000002</v>
      </c>
      <c r="F119" s="24">
        <v>1.8733519999999999</v>
      </c>
      <c r="G119" s="24">
        <v>16.196763000000001</v>
      </c>
    </row>
    <row r="120" spans="1:7" x14ac:dyDescent="0.2">
      <c r="A120" s="21">
        <v>46066</v>
      </c>
      <c r="B120" s="24">
        <v>1.236092</v>
      </c>
      <c r="C120" s="24">
        <v>0.77221200000000001</v>
      </c>
      <c r="D120" s="24">
        <v>-0.47992699999999999</v>
      </c>
      <c r="E120" s="24">
        <v>7.3179829999999999</v>
      </c>
      <c r="F120" s="24">
        <v>1.871095</v>
      </c>
      <c r="G120" s="24">
        <v>16.173717</v>
      </c>
    </row>
    <row r="121" spans="1:7" x14ac:dyDescent="0.2">
      <c r="A121" s="21">
        <v>46069</v>
      </c>
      <c r="B121" s="24">
        <v>1.239403</v>
      </c>
      <c r="C121" s="24">
        <v>0.77418799999999999</v>
      </c>
      <c r="D121" s="24">
        <v>-0.47248000000000001</v>
      </c>
      <c r="E121" s="24">
        <v>7.3191360000000003</v>
      </c>
      <c r="F121" s="24">
        <v>1.8776520000000001</v>
      </c>
      <c r="G121" s="24">
        <v>16.174992</v>
      </c>
    </row>
    <row r="122" spans="1:7" x14ac:dyDescent="0.2">
      <c r="A122" s="21">
        <v>46070</v>
      </c>
      <c r="B122" s="24">
        <v>1.2372540000000001</v>
      </c>
      <c r="C122" s="24">
        <v>0.77461800000000003</v>
      </c>
      <c r="D122" s="24">
        <v>-0.79736499999999999</v>
      </c>
      <c r="E122" s="24">
        <v>7.3121919999999996</v>
      </c>
      <c r="F122" s="24">
        <v>2.4081610000000002</v>
      </c>
      <c r="G122" s="24">
        <v>15.479402</v>
      </c>
    </row>
    <row r="123" spans="1:7" x14ac:dyDescent="0.2">
      <c r="A123" s="21">
        <v>46071</v>
      </c>
      <c r="B123" s="24">
        <v>1.223819</v>
      </c>
      <c r="C123" s="24">
        <v>0.77469200000000005</v>
      </c>
      <c r="D123" s="24">
        <v>-0.56721200000000005</v>
      </c>
      <c r="E123" s="24">
        <v>7.3306839999999998</v>
      </c>
      <c r="F123" s="24">
        <v>2.2176100000000001</v>
      </c>
      <c r="G123" s="24">
        <v>15.992385000000001</v>
      </c>
    </row>
    <row r="124" spans="1:7" x14ac:dyDescent="0.2">
      <c r="A124" s="21">
        <v>46072</v>
      </c>
      <c r="B124" s="24">
        <v>1.222297</v>
      </c>
      <c r="C124" s="24">
        <v>0.77460799999999996</v>
      </c>
      <c r="D124" s="24">
        <v>-0.44126799999999999</v>
      </c>
      <c r="E124" s="24">
        <v>7.3355569999999997</v>
      </c>
      <c r="F124" s="24">
        <v>2.0383490000000002</v>
      </c>
      <c r="G124" s="24">
        <v>16.23367</v>
      </c>
    </row>
    <row r="125" spans="1:7" x14ac:dyDescent="0.2">
      <c r="A125" s="21">
        <v>46073</v>
      </c>
      <c r="B125" s="24">
        <v>1.1982139999999999</v>
      </c>
      <c r="C125" s="24">
        <v>0.76985599999999998</v>
      </c>
      <c r="D125" s="24">
        <v>-0.46529199999999998</v>
      </c>
      <c r="E125" s="24">
        <v>7.2988280000000003</v>
      </c>
      <c r="F125" s="24">
        <v>2.2674639999999999</v>
      </c>
      <c r="G125" s="24">
        <v>15.982882</v>
      </c>
    </row>
    <row r="126" spans="1:7" x14ac:dyDescent="0.2">
      <c r="A126" s="21">
        <v>46076</v>
      </c>
      <c r="B126" s="24">
        <v>1.2091400000000001</v>
      </c>
      <c r="C126" s="24">
        <v>0.77492099999999997</v>
      </c>
      <c r="D126" s="24">
        <v>-0.81897399999999998</v>
      </c>
      <c r="E126" s="24">
        <v>7.387918</v>
      </c>
      <c r="F126" s="24">
        <v>2.722099</v>
      </c>
      <c r="G126" s="24">
        <v>15.519603</v>
      </c>
    </row>
    <row r="127" spans="1:7" x14ac:dyDescent="0.2">
      <c r="A127" s="21">
        <v>46077</v>
      </c>
      <c r="B127" s="24">
        <v>1.2042189999999999</v>
      </c>
      <c r="C127" s="24">
        <v>0.78980300000000003</v>
      </c>
      <c r="D127" s="24">
        <v>-0.84249399999999997</v>
      </c>
      <c r="E127" s="24">
        <v>7.3533619999999997</v>
      </c>
      <c r="F127" s="24">
        <v>2.729212</v>
      </c>
      <c r="G127" s="24">
        <v>15.527056999999999</v>
      </c>
    </row>
    <row r="128" spans="1:7" x14ac:dyDescent="0.2">
      <c r="A128" s="21">
        <v>46078</v>
      </c>
      <c r="B128" s="24">
        <v>1.209443</v>
      </c>
      <c r="C128" s="24">
        <v>0.79145799999999999</v>
      </c>
      <c r="D128" s="24">
        <v>-0.86073599999999995</v>
      </c>
      <c r="E128" s="24">
        <v>7.3593299999999999</v>
      </c>
      <c r="F128" s="24">
        <v>2.7273299999999998</v>
      </c>
      <c r="G128" s="24">
        <v>15.531218000000001</v>
      </c>
    </row>
    <row r="129" spans="1:7" x14ac:dyDescent="0.2">
      <c r="A129" s="21">
        <v>46079</v>
      </c>
      <c r="B129" s="24">
        <v>1.1899500000000001</v>
      </c>
      <c r="C129" s="24">
        <v>0.77628200000000003</v>
      </c>
      <c r="D129" s="24">
        <v>-0.65381999999999996</v>
      </c>
      <c r="E129" s="24">
        <v>7.321428</v>
      </c>
      <c r="F129" s="24">
        <v>2.7086160000000001</v>
      </c>
      <c r="G129" s="24">
        <v>16.29251</v>
      </c>
    </row>
    <row r="130" spans="1:7" x14ac:dyDescent="0.2">
      <c r="A130" s="21">
        <v>46080</v>
      </c>
      <c r="B130" s="24">
        <v>1.193964</v>
      </c>
      <c r="C130" s="24">
        <v>0.78112099999999995</v>
      </c>
      <c r="D130" s="24">
        <v>-0.987155</v>
      </c>
      <c r="E130" s="24">
        <v>7.3734979999999997</v>
      </c>
      <c r="F130" s="24">
        <v>2.9668139999999998</v>
      </c>
      <c r="G130" s="24">
        <v>15.630462</v>
      </c>
    </row>
    <row r="131" spans="1:7" x14ac:dyDescent="0.2">
      <c r="A131" s="21">
        <v>46083</v>
      </c>
      <c r="B131" s="24">
        <v>1.1973149999999999</v>
      </c>
      <c r="C131" s="24">
        <v>0.79393999999999998</v>
      </c>
      <c r="D131" s="24">
        <v>-0.95907900000000001</v>
      </c>
      <c r="E131" s="24">
        <v>7.4280150000000003</v>
      </c>
      <c r="F131" s="24">
        <v>3.2725770000000001</v>
      </c>
      <c r="G131" s="24">
        <v>15.635873999999999</v>
      </c>
    </row>
    <row r="132" spans="1:7" x14ac:dyDescent="0.2">
      <c r="A132" s="21">
        <v>46084</v>
      </c>
      <c r="B132" s="24">
        <v>1.220828</v>
      </c>
      <c r="C132" s="24">
        <v>0.78517199999999998</v>
      </c>
      <c r="D132" s="24">
        <v>-0.76843099999999998</v>
      </c>
      <c r="E132" s="24">
        <v>7.426539</v>
      </c>
      <c r="F132" s="24">
        <v>4.1237510000000004</v>
      </c>
      <c r="G132" s="24">
        <v>16.029333000000001</v>
      </c>
    </row>
    <row r="133" spans="1:7" x14ac:dyDescent="0.2">
      <c r="A133" s="21">
        <v>46085</v>
      </c>
      <c r="B133" s="24">
        <v>1.221678</v>
      </c>
      <c r="C133" s="24">
        <v>0.78424400000000005</v>
      </c>
      <c r="D133" s="24">
        <v>-0.88233700000000004</v>
      </c>
      <c r="E133" s="24">
        <v>7.4641270000000004</v>
      </c>
      <c r="F133" s="24">
        <v>3.7595559999999999</v>
      </c>
      <c r="G133" s="24">
        <v>15.776643999999999</v>
      </c>
    </row>
    <row r="134" spans="1:7" x14ac:dyDescent="0.2">
      <c r="A134" s="21">
        <v>46086</v>
      </c>
      <c r="B134" s="24">
        <v>1.230734</v>
      </c>
      <c r="C134" s="24">
        <v>0.79805099999999995</v>
      </c>
      <c r="D134" s="24">
        <v>-1.1716569999999999</v>
      </c>
      <c r="E134" s="24">
        <v>7.637499</v>
      </c>
      <c r="F134" s="24">
        <v>4.7506579999999996</v>
      </c>
      <c r="G134" s="24">
        <v>14.768777999999999</v>
      </c>
    </row>
    <row r="135" spans="1:7" x14ac:dyDescent="0.2">
      <c r="A135" s="21">
        <v>46087</v>
      </c>
      <c r="B135" s="24">
        <v>1.23451</v>
      </c>
      <c r="C135" s="24">
        <v>0.80760600000000005</v>
      </c>
      <c r="D135" s="24">
        <v>-0.68640500000000004</v>
      </c>
      <c r="E135" s="24">
        <v>7.2481109999999997</v>
      </c>
      <c r="F135" s="24">
        <v>5.1843060000000003</v>
      </c>
      <c r="G135" s="24">
        <v>15.810634</v>
      </c>
    </row>
    <row r="136" spans="1:7" x14ac:dyDescent="0.2">
      <c r="A136" s="21">
        <v>46090</v>
      </c>
      <c r="B136" s="24">
        <v>1.2503359999999999</v>
      </c>
      <c r="C136" s="24">
        <v>0.81781400000000004</v>
      </c>
      <c r="D136" s="24">
        <v>-1.4056070000000001</v>
      </c>
      <c r="E136" s="24">
        <v>7.718966</v>
      </c>
      <c r="F136" s="24">
        <v>6.5711019999999998</v>
      </c>
      <c r="G136" s="24">
        <v>15.028947000000001</v>
      </c>
    </row>
    <row r="137" spans="1:7" x14ac:dyDescent="0.2">
      <c r="A137" s="21">
        <v>46091</v>
      </c>
      <c r="B137" s="24">
        <v>1.222278</v>
      </c>
      <c r="C137" s="24">
        <v>0.77983800000000003</v>
      </c>
      <c r="D137" s="24">
        <v>-1.0783940000000001</v>
      </c>
      <c r="E137" s="24">
        <v>7.5959490000000001</v>
      </c>
      <c r="F137" s="24">
        <v>5.2428679999999996</v>
      </c>
      <c r="G137" s="24">
        <v>14.938851</v>
      </c>
    </row>
    <row r="138" spans="1:7" x14ac:dyDescent="0.2">
      <c r="A138" s="21">
        <v>46092</v>
      </c>
      <c r="B138" s="24">
        <v>1.1512089999999999</v>
      </c>
      <c r="C138" s="24">
        <v>0.69220300000000001</v>
      </c>
      <c r="D138" s="24">
        <v>1.423915</v>
      </c>
      <c r="E138" s="24">
        <v>7.5509789999999999</v>
      </c>
      <c r="F138" s="24">
        <v>0.93882500000000002</v>
      </c>
      <c r="G138" s="24">
        <v>15.157408</v>
      </c>
    </row>
    <row r="139" spans="1:7" x14ac:dyDescent="0.2">
      <c r="A139" s="21">
        <v>46093</v>
      </c>
      <c r="B139" s="24">
        <v>1.150576</v>
      </c>
      <c r="C139" s="24">
        <v>0.67345500000000003</v>
      </c>
      <c r="D139" s="24">
        <v>1.635316</v>
      </c>
      <c r="E139" s="24">
        <v>7.5886880000000003</v>
      </c>
      <c r="F139" s="24">
        <v>0.857155</v>
      </c>
      <c r="G139" s="24">
        <v>14.89086</v>
      </c>
    </row>
    <row r="140" spans="1:7" x14ac:dyDescent="0.2">
      <c r="A140" s="21">
        <v>46094</v>
      </c>
      <c r="B140" s="24">
        <v>1.169862</v>
      </c>
      <c r="C140" s="24">
        <v>0.67766599999999999</v>
      </c>
      <c r="D140" s="24">
        <v>1.5553939999999999</v>
      </c>
      <c r="E140" s="24">
        <v>7.5667540000000004</v>
      </c>
      <c r="F140" s="24">
        <v>0.914655</v>
      </c>
      <c r="G140" s="24">
        <v>15.009998</v>
      </c>
    </row>
    <row r="141" spans="1:7" x14ac:dyDescent="0.2">
      <c r="A141" s="21">
        <v>46097</v>
      </c>
      <c r="B141" s="24">
        <v>1.1522779999999999</v>
      </c>
      <c r="C141" s="24">
        <v>0.65135699999999996</v>
      </c>
      <c r="D141" s="24">
        <v>1.610438</v>
      </c>
      <c r="E141" s="24">
        <v>7.5864989999999999</v>
      </c>
      <c r="F141" s="24">
        <v>0.88212500000000005</v>
      </c>
      <c r="G141" s="24">
        <v>15.089097000000001</v>
      </c>
    </row>
    <row r="142" spans="1:7" x14ac:dyDescent="0.2">
      <c r="A142" s="21">
        <v>46098</v>
      </c>
      <c r="B142" s="24">
        <v>1.1466780000000001</v>
      </c>
      <c r="C142" s="24">
        <v>0.65057200000000004</v>
      </c>
      <c r="D142" s="24">
        <v>1.6363430000000001</v>
      </c>
      <c r="E142" s="24">
        <v>7.5165459999999999</v>
      </c>
      <c r="F142" s="24">
        <v>0.86317900000000003</v>
      </c>
      <c r="G142" s="24">
        <v>15.070857999999999</v>
      </c>
    </row>
    <row r="143" spans="1:7" x14ac:dyDescent="0.2">
      <c r="A143" s="21">
        <v>46099</v>
      </c>
      <c r="B143" s="24">
        <v>1.1607799999999999</v>
      </c>
      <c r="C143" s="24">
        <v>0.65412700000000001</v>
      </c>
      <c r="D143" s="24">
        <v>1.776297</v>
      </c>
      <c r="E143" s="24">
        <v>7.4346629999999996</v>
      </c>
      <c r="F143" s="24">
        <v>0.91483999999999999</v>
      </c>
      <c r="G143" s="24">
        <v>14.872972000000001</v>
      </c>
    </row>
    <row r="144" spans="1:7" x14ac:dyDescent="0.2">
      <c r="A144" s="21">
        <v>46100</v>
      </c>
      <c r="B144" s="24">
        <v>1.1484799999999999</v>
      </c>
      <c r="C144" s="24">
        <v>0.64283299999999999</v>
      </c>
      <c r="D144" s="24">
        <v>2.046338</v>
      </c>
      <c r="E144" s="24">
        <v>7.4137399999999998</v>
      </c>
      <c r="F144" s="24">
        <v>0.91336600000000001</v>
      </c>
      <c r="G144" s="24">
        <v>14.793862000000001</v>
      </c>
    </row>
    <row r="145" spans="1:7" x14ac:dyDescent="0.2">
      <c r="A145" s="21">
        <v>46101</v>
      </c>
      <c r="B145" s="24">
        <v>1.1295170000000001</v>
      </c>
      <c r="C145" s="24">
        <v>0.67733100000000002</v>
      </c>
      <c r="D145" s="24">
        <v>2.3578619999999999</v>
      </c>
      <c r="E145" s="24">
        <v>7.5911280000000003</v>
      </c>
      <c r="F145" s="24">
        <v>0.99816300000000002</v>
      </c>
      <c r="G145" s="24">
        <v>14.999563</v>
      </c>
    </row>
    <row r="146" spans="1:7" x14ac:dyDescent="0.2">
      <c r="A146" s="21">
        <v>46104</v>
      </c>
      <c r="B146" s="24">
        <v>1.18</v>
      </c>
      <c r="C146" s="24">
        <v>0.72116400000000003</v>
      </c>
      <c r="D146" s="24">
        <v>2.0357980000000002</v>
      </c>
      <c r="E146" s="24">
        <v>7.3608349999999998</v>
      </c>
      <c r="F146" s="24">
        <v>0.89287899999999998</v>
      </c>
      <c r="G146" s="24">
        <v>14.784363000000001</v>
      </c>
    </row>
    <row r="147" spans="1:7" x14ac:dyDescent="0.2">
      <c r="A147" s="21">
        <v>46105</v>
      </c>
      <c r="B147" s="24">
        <v>1.139478</v>
      </c>
      <c r="C147" s="24">
        <v>0.68929700000000005</v>
      </c>
      <c r="D147" s="24">
        <v>2.4296160000000002</v>
      </c>
      <c r="E147" s="24">
        <v>7.4002140000000001</v>
      </c>
      <c r="F147" s="24">
        <v>0.86741199999999996</v>
      </c>
      <c r="G147" s="24">
        <v>14.211817999999999</v>
      </c>
    </row>
    <row r="148" spans="1:7" x14ac:dyDescent="0.2">
      <c r="A148" s="21">
        <v>46106</v>
      </c>
      <c r="B148" s="24">
        <v>1.1532279999999999</v>
      </c>
      <c r="C148" s="24">
        <v>0.68234700000000004</v>
      </c>
      <c r="D148" s="24">
        <v>2.359486</v>
      </c>
      <c r="E148" s="24">
        <v>7.1554320000000002</v>
      </c>
      <c r="F148" s="24">
        <v>0.84454399999999996</v>
      </c>
      <c r="G148" s="24">
        <v>14.141064</v>
      </c>
    </row>
    <row r="149" spans="1:7" x14ac:dyDescent="0.2">
      <c r="A149" s="21">
        <v>46107</v>
      </c>
      <c r="B149" s="24">
        <v>1.164096</v>
      </c>
      <c r="C149" s="24">
        <v>0.689967</v>
      </c>
      <c r="D149" s="24">
        <v>2.443759</v>
      </c>
      <c r="E149" s="24">
        <v>7.3294449999999998</v>
      </c>
      <c r="F149" s="24">
        <v>0.86434999999999995</v>
      </c>
      <c r="G149" s="24">
        <v>13.853052999999999</v>
      </c>
    </row>
    <row r="150" spans="1:7" x14ac:dyDescent="0.2">
      <c r="A150" s="21">
        <v>46108</v>
      </c>
      <c r="B150" s="24">
        <v>1.1530050000000001</v>
      </c>
      <c r="C150" s="24">
        <v>0.67856300000000003</v>
      </c>
      <c r="D150" s="24">
        <v>2.4809480000000002</v>
      </c>
      <c r="E150" s="24">
        <v>7.5511249999999999</v>
      </c>
      <c r="F150" s="24">
        <v>0.88143300000000002</v>
      </c>
      <c r="G150" s="24">
        <v>13.716670000000001</v>
      </c>
    </row>
    <row r="151" spans="1:7" x14ac:dyDescent="0.2">
      <c r="A151" s="21">
        <v>46111</v>
      </c>
      <c r="B151" s="24">
        <v>1.108087</v>
      </c>
      <c r="C151" s="24">
        <v>0.64795499999999995</v>
      </c>
      <c r="D151" s="24">
        <v>2.636657</v>
      </c>
      <c r="E151" s="24">
        <v>7.5700209999999997</v>
      </c>
      <c r="F151" s="24">
        <v>0.80504699999999996</v>
      </c>
      <c r="G151" s="24">
        <v>13.735744</v>
      </c>
    </row>
    <row r="152" spans="1:7" x14ac:dyDescent="0.2">
      <c r="A152" s="21">
        <v>46112</v>
      </c>
      <c r="B152" s="24">
        <v>1.107375</v>
      </c>
      <c r="C152" s="24">
        <v>0.67774100000000004</v>
      </c>
      <c r="D152" s="24">
        <v>2.6118429999999999</v>
      </c>
      <c r="E152" s="24">
        <v>7.5068900000000003</v>
      </c>
      <c r="F152" s="24">
        <v>0.78421300000000005</v>
      </c>
      <c r="G152" s="24">
        <v>13.734658</v>
      </c>
    </row>
    <row r="153" spans="1:7" x14ac:dyDescent="0.2">
      <c r="A153" s="21">
        <v>46113</v>
      </c>
      <c r="B153" s="24">
        <v>1.1845619999999999</v>
      </c>
      <c r="C153" s="24">
        <v>0.74142799999999998</v>
      </c>
      <c r="D153" s="24">
        <v>2.1693349999999998</v>
      </c>
      <c r="E153" s="24">
        <v>7.254842</v>
      </c>
      <c r="F153" s="24">
        <v>0.80827000000000004</v>
      </c>
      <c r="G153" s="24">
        <v>14.077496999999999</v>
      </c>
    </row>
    <row r="154" spans="1:7" x14ac:dyDescent="0.2">
      <c r="A154" s="21">
        <v>46114</v>
      </c>
      <c r="B154" s="24">
        <v>1.1940249999999999</v>
      </c>
      <c r="C154" s="24">
        <v>0.72639799999999999</v>
      </c>
      <c r="D154" s="24">
        <v>2.323664</v>
      </c>
      <c r="E154" s="24">
        <v>7.3193440000000001</v>
      </c>
      <c r="F154" s="24">
        <v>0.80283800000000005</v>
      </c>
      <c r="G154" s="24">
        <v>14.175020999999999</v>
      </c>
    </row>
    <row r="155" spans="1:7" x14ac:dyDescent="0.2">
      <c r="A155" s="21">
        <v>46119</v>
      </c>
      <c r="B155" s="24">
        <v>1.194372</v>
      </c>
      <c r="C155" s="24">
        <v>0.73069200000000001</v>
      </c>
      <c r="D155" s="24">
        <v>2.4522029999999999</v>
      </c>
      <c r="E155" s="24">
        <v>7.3569040000000001</v>
      </c>
      <c r="F155" s="24">
        <v>0.86002599999999996</v>
      </c>
      <c r="G155" s="24">
        <v>14.277611</v>
      </c>
    </row>
    <row r="156" spans="1:7" x14ac:dyDescent="0.2">
      <c r="A156" s="21">
        <v>46120</v>
      </c>
      <c r="B156" s="24">
        <v>1.1690970000000001</v>
      </c>
      <c r="C156" s="24">
        <v>0.69464400000000004</v>
      </c>
      <c r="D156" s="24">
        <v>1.949559</v>
      </c>
      <c r="E156" s="24">
        <v>7.3243770000000001</v>
      </c>
      <c r="F156" s="24">
        <v>0.82809900000000003</v>
      </c>
      <c r="G156" s="24">
        <v>14.904858000000001</v>
      </c>
    </row>
    <row r="157" spans="1:7" x14ac:dyDescent="0.2">
      <c r="A157" s="21">
        <v>46121</v>
      </c>
      <c r="B157" s="24">
        <v>1.183257</v>
      </c>
      <c r="C157" s="24">
        <v>0.69357800000000003</v>
      </c>
      <c r="D157" s="24">
        <v>2.1070540000000002</v>
      </c>
      <c r="E157" s="24">
        <v>7.5160210000000003</v>
      </c>
      <c r="F157" s="24">
        <v>0.82954499999999998</v>
      </c>
      <c r="G157" s="24">
        <v>14.531594999999999</v>
      </c>
    </row>
    <row r="158" spans="1:7" x14ac:dyDescent="0.2">
      <c r="A158" s="21">
        <v>46122</v>
      </c>
      <c r="B158" s="24">
        <v>1.216572</v>
      </c>
      <c r="C158" s="24">
        <v>0.700048</v>
      </c>
      <c r="D158" s="24">
        <v>1.9751719999999999</v>
      </c>
      <c r="E158" s="24">
        <v>7.5660610000000004</v>
      </c>
      <c r="F158" s="24">
        <v>0.86263900000000004</v>
      </c>
      <c r="G158" s="24">
        <v>14.759304</v>
      </c>
    </row>
    <row r="159" spans="1:7" x14ac:dyDescent="0.2">
      <c r="A159" s="21">
        <v>46125</v>
      </c>
      <c r="B159" s="24">
        <v>1.1999029999999999</v>
      </c>
      <c r="C159" s="24">
        <v>0.698546</v>
      </c>
      <c r="D159" s="24">
        <v>2.2559670000000001</v>
      </c>
      <c r="E159" s="24">
        <v>7.6427490000000002</v>
      </c>
      <c r="F159" s="24">
        <v>0.81556899999999999</v>
      </c>
      <c r="G159" s="24">
        <v>14.574827000000001</v>
      </c>
    </row>
    <row r="160" spans="1:7" x14ac:dyDescent="0.2">
      <c r="A160" s="21">
        <v>46126</v>
      </c>
      <c r="B160" s="24">
        <v>1.175165</v>
      </c>
      <c r="C160" s="24">
        <v>0.67905000000000004</v>
      </c>
      <c r="D160" s="24">
        <v>2.2179000000000002</v>
      </c>
      <c r="E160" s="24">
        <v>7.7435219999999996</v>
      </c>
      <c r="F160" s="24">
        <v>0.80648299999999995</v>
      </c>
      <c r="G160" s="24">
        <v>14.585621</v>
      </c>
    </row>
    <row r="161" spans="1:7" x14ac:dyDescent="0.2">
      <c r="A161" s="21">
        <v>46127</v>
      </c>
      <c r="B161" s="24">
        <v>1.1780250000000001</v>
      </c>
      <c r="C161" s="24">
        <v>0.72097199999999995</v>
      </c>
      <c r="D161" s="24">
        <v>1.991447</v>
      </c>
      <c r="E161" s="24">
        <v>7.6987170000000003</v>
      </c>
      <c r="F161" s="24">
        <v>0.80838399999999999</v>
      </c>
      <c r="G161" s="24">
        <v>14.615936</v>
      </c>
    </row>
    <row r="162" spans="1:7" x14ac:dyDescent="0.2">
      <c r="A162" s="21">
        <v>46128</v>
      </c>
      <c r="B162" s="24">
        <v>1.205362</v>
      </c>
      <c r="C162" s="24">
        <v>0.75832100000000002</v>
      </c>
      <c r="D162" s="24">
        <v>1.826325</v>
      </c>
      <c r="E162" s="24">
        <v>7.6159720000000002</v>
      </c>
      <c r="F162" s="24">
        <v>0.84175800000000001</v>
      </c>
      <c r="G162" s="24">
        <v>14.950549000000001</v>
      </c>
    </row>
    <row r="163" spans="1:7" x14ac:dyDescent="0.2">
      <c r="A163" s="21">
        <v>46129</v>
      </c>
      <c r="B163" s="24">
        <v>1.2103569999999999</v>
      </c>
      <c r="C163" s="24">
        <v>0.75433399999999995</v>
      </c>
      <c r="D163" s="24">
        <v>1.6779550000000001</v>
      </c>
      <c r="E163" s="24">
        <v>7.542586</v>
      </c>
      <c r="F163" s="24">
        <v>0.76974799999999999</v>
      </c>
      <c r="G163" s="24">
        <v>15.082082</v>
      </c>
    </row>
    <row r="164" spans="1:7" x14ac:dyDescent="0.2">
      <c r="A164" s="21">
        <v>46132</v>
      </c>
      <c r="B164" s="24">
        <v>1.1857219999999999</v>
      </c>
      <c r="C164" s="24">
        <v>0.77322299999999999</v>
      </c>
      <c r="D164" s="24">
        <v>1.7368440000000001</v>
      </c>
      <c r="E164" s="24">
        <v>7.6381389999999998</v>
      </c>
      <c r="F164" s="24">
        <v>0.77549299999999999</v>
      </c>
      <c r="G164" s="24">
        <v>14.950875999999999</v>
      </c>
    </row>
    <row r="165" spans="1:7" x14ac:dyDescent="0.2">
      <c r="A165" s="21">
        <v>46133</v>
      </c>
      <c r="B165" s="24">
        <v>1.1781079999999999</v>
      </c>
      <c r="C165" s="24">
        <v>0.77095599999999997</v>
      </c>
      <c r="D165" s="24">
        <v>1.8273189999999999</v>
      </c>
      <c r="E165" s="24">
        <v>7.5447439999999997</v>
      </c>
      <c r="F165" s="24">
        <v>0.81715599999999999</v>
      </c>
      <c r="G165" s="24">
        <v>14.795908000000001</v>
      </c>
    </row>
    <row r="166" spans="1:7" x14ac:dyDescent="0.2">
      <c r="A166" s="21">
        <v>46134</v>
      </c>
      <c r="B166" s="24">
        <v>1.1808609999999999</v>
      </c>
      <c r="C166" s="24">
        <v>0.78703299999999998</v>
      </c>
      <c r="D166" s="24">
        <v>1.8564579999999999</v>
      </c>
      <c r="E166" s="24">
        <v>7.5277989999999999</v>
      </c>
      <c r="F166" s="24">
        <v>0.86312599999999995</v>
      </c>
      <c r="G166" s="24">
        <v>14.802084000000001</v>
      </c>
    </row>
    <row r="167" spans="1:7" x14ac:dyDescent="0.2">
      <c r="A167" s="21">
        <v>46135</v>
      </c>
      <c r="B167" s="24">
        <v>1.175019</v>
      </c>
      <c r="C167" s="24">
        <v>0.78432900000000005</v>
      </c>
      <c r="D167" s="24">
        <v>2.0476190000000001</v>
      </c>
      <c r="E167" s="24">
        <v>7.5509909999999998</v>
      </c>
      <c r="F167" s="24">
        <v>0.84891300000000003</v>
      </c>
      <c r="G167" s="24">
        <v>14.724602000000001</v>
      </c>
    </row>
    <row r="168" spans="1:7" x14ac:dyDescent="0.2">
      <c r="A168" s="21">
        <v>46136</v>
      </c>
      <c r="B168" s="24">
        <v>1.1926909999999999</v>
      </c>
      <c r="C168" s="24">
        <v>0.76141999999999999</v>
      </c>
      <c r="D168" s="24">
        <v>2.0920610000000002</v>
      </c>
      <c r="E168" s="24">
        <v>7.4888510000000004</v>
      </c>
      <c r="F168" s="24">
        <v>0.81012799999999996</v>
      </c>
      <c r="G168" s="24">
        <v>14.594127</v>
      </c>
    </row>
    <row r="169" spans="1:7" x14ac:dyDescent="0.2">
      <c r="A169" s="21">
        <v>46139</v>
      </c>
      <c r="B169" s="24">
        <v>1.1823900000000001</v>
      </c>
      <c r="C169" s="24">
        <v>0.78000599999999998</v>
      </c>
      <c r="D169" s="24">
        <v>2.0277569999999998</v>
      </c>
      <c r="E169" s="24">
        <v>7.5919350000000003</v>
      </c>
      <c r="F169" s="24">
        <v>0.81689299999999998</v>
      </c>
      <c r="G169" s="24">
        <v>14.587051000000001</v>
      </c>
    </row>
    <row r="170" spans="1:7" x14ac:dyDescent="0.2">
      <c r="A170" s="21">
        <v>46140</v>
      </c>
      <c r="B170" s="24">
        <v>1.1850130000000001</v>
      </c>
      <c r="C170" s="24">
        <v>0.71607900000000002</v>
      </c>
      <c r="D170" s="24">
        <v>2.3616009999999998</v>
      </c>
      <c r="E170" s="24">
        <v>7.6358940000000004</v>
      </c>
      <c r="F170" s="24">
        <v>0.79613299999999998</v>
      </c>
      <c r="G170" s="24">
        <v>14.43679</v>
      </c>
    </row>
    <row r="171" spans="1:7" x14ac:dyDescent="0.2">
      <c r="A171" s="21">
        <v>46141</v>
      </c>
      <c r="B171" s="24">
        <v>1.2178199999999999</v>
      </c>
      <c r="C171" s="24">
        <v>0.78988000000000003</v>
      </c>
      <c r="D171" s="24">
        <v>2.2741560000000001</v>
      </c>
      <c r="E171" s="24">
        <v>7.4824299999999999</v>
      </c>
      <c r="F171" s="24">
        <v>0.87890699999999999</v>
      </c>
      <c r="G171" s="24">
        <v>14.436161999999999</v>
      </c>
    </row>
    <row r="172" spans="1:7" x14ac:dyDescent="0.2">
      <c r="A172" s="21">
        <v>46142</v>
      </c>
      <c r="B172" s="24">
        <v>1.2054480000000001</v>
      </c>
      <c r="C172" s="24">
        <v>0.77787300000000004</v>
      </c>
      <c r="D172" s="24">
        <v>2.1547969999999999</v>
      </c>
      <c r="E172" s="24">
        <v>7.4564909999999998</v>
      </c>
      <c r="F172" s="24">
        <v>0.89011700000000005</v>
      </c>
      <c r="G172" s="24">
        <v>14.785714</v>
      </c>
    </row>
    <row r="173" spans="1:7" x14ac:dyDescent="0.2">
      <c r="A173" s="21">
        <v>46146</v>
      </c>
      <c r="B173" s="24">
        <v>1.1803889999999999</v>
      </c>
      <c r="C173" s="24">
        <v>0.73792000000000002</v>
      </c>
      <c r="D173" s="24">
        <v>2.39662</v>
      </c>
      <c r="E173" s="24">
        <v>7.5433960000000004</v>
      </c>
      <c r="F173" s="24">
        <v>0.88904899999999998</v>
      </c>
      <c r="G173" s="24">
        <v>14.790417</v>
      </c>
    </row>
    <row r="174" spans="1:7" x14ac:dyDescent="0.2">
      <c r="A174" s="21">
        <v>46147</v>
      </c>
      <c r="B174" s="24">
        <v>1.1730529999999999</v>
      </c>
      <c r="C174" s="24">
        <v>0.75158999999999998</v>
      </c>
      <c r="D174" s="24">
        <v>2.3719890000000001</v>
      </c>
      <c r="E174" s="24">
        <v>7.6523649999999996</v>
      </c>
      <c r="F174" s="24">
        <v>0.88456000000000001</v>
      </c>
      <c r="G174" s="24">
        <v>14.694701999999999</v>
      </c>
    </row>
    <row r="175" spans="1:7" x14ac:dyDescent="0.2">
      <c r="A175" s="21">
        <v>46148</v>
      </c>
      <c r="B175" s="24">
        <v>1.186423</v>
      </c>
      <c r="C175" s="24">
        <v>0.64853000000000005</v>
      </c>
      <c r="D175" s="24">
        <v>2.3358789999999998</v>
      </c>
      <c r="E175" s="24">
        <v>7.4925980000000001</v>
      </c>
      <c r="F175" s="24">
        <v>0.77202000000000004</v>
      </c>
      <c r="G175" s="24">
        <v>14.846491</v>
      </c>
    </row>
    <row r="176" spans="1:7" x14ac:dyDescent="0.2">
      <c r="A176" s="21">
        <v>46149</v>
      </c>
      <c r="B176" s="24">
        <v>1.2094050000000001</v>
      </c>
      <c r="C176" s="24">
        <v>0.66836399999999996</v>
      </c>
      <c r="D176" s="24">
        <v>2.1705559999999999</v>
      </c>
      <c r="E176" s="24">
        <v>7.3910669999999996</v>
      </c>
      <c r="F176" s="24">
        <v>0.76641199999999998</v>
      </c>
      <c r="G176" s="24">
        <v>14.839936</v>
      </c>
    </row>
    <row r="177" spans="1:7" x14ac:dyDescent="0.2">
      <c r="A177" s="21">
        <v>46150</v>
      </c>
      <c r="B177" s="24">
        <v>1.229833</v>
      </c>
      <c r="C177" s="24">
        <v>0.59217299999999995</v>
      </c>
      <c r="D177" s="24">
        <v>2.340306</v>
      </c>
      <c r="E177" s="24">
        <v>7.377345</v>
      </c>
      <c r="F177" s="24">
        <v>0.74248199999999998</v>
      </c>
      <c r="G177" s="24">
        <v>14.874038000000001</v>
      </c>
    </row>
    <row r="178" spans="1:7" x14ac:dyDescent="0.2">
      <c r="A178" s="21">
        <v>46153</v>
      </c>
      <c r="B178" s="24">
        <v>1.2088509999999999</v>
      </c>
      <c r="C178" s="24">
        <v>0.631023</v>
      </c>
      <c r="D178" s="24">
        <v>2.3949229999999999</v>
      </c>
      <c r="E178" s="24">
        <v>7.4978300000000004</v>
      </c>
      <c r="F178" s="24">
        <v>0.82869999999999999</v>
      </c>
      <c r="G178" s="24">
        <v>15.045579999999999</v>
      </c>
    </row>
    <row r="179" spans="1:7" x14ac:dyDescent="0.2">
      <c r="A179" s="21">
        <v>46154</v>
      </c>
      <c r="B179" s="24">
        <v>1.208218</v>
      </c>
      <c r="C179" s="24">
        <v>0.63302700000000001</v>
      </c>
      <c r="D179" s="24">
        <v>2.5118849999999999</v>
      </c>
      <c r="E179" s="24">
        <v>7.6688840000000003</v>
      </c>
      <c r="F179" s="24">
        <v>0.87000100000000002</v>
      </c>
      <c r="G179" s="24">
        <v>14.880051</v>
      </c>
    </row>
    <row r="180" spans="1:7" x14ac:dyDescent="0.2">
      <c r="A180" s="21">
        <v>46155</v>
      </c>
      <c r="B180" s="24">
        <v>1.2157910000000001</v>
      </c>
      <c r="C180" s="24">
        <v>0.64183800000000002</v>
      </c>
      <c r="D180" s="24">
        <v>2.4512719999999999</v>
      </c>
      <c r="E180" s="24">
        <v>7.6405839999999996</v>
      </c>
      <c r="F180" s="24">
        <v>0.88743899999999998</v>
      </c>
      <c r="G180" s="24">
        <v>14.886265</v>
      </c>
    </row>
    <row r="181" spans="1:7" x14ac:dyDescent="0.2">
      <c r="A181" s="21">
        <v>46156</v>
      </c>
      <c r="B181" s="24">
        <v>1.2518370000000001</v>
      </c>
      <c r="C181" s="24">
        <v>0.68254400000000004</v>
      </c>
      <c r="D181" s="24">
        <v>2.166982</v>
      </c>
      <c r="E181" s="24">
        <v>7.4318140000000001</v>
      </c>
      <c r="F181" s="24">
        <v>0.89878000000000002</v>
      </c>
      <c r="G181" s="24">
        <v>15.276915000000001</v>
      </c>
    </row>
    <row r="182" spans="1:7" x14ac:dyDescent="0.2">
      <c r="A182" s="21">
        <v>46157</v>
      </c>
      <c r="B182" s="24">
        <v>1.245539</v>
      </c>
      <c r="C182" s="24">
        <v>0.68208500000000005</v>
      </c>
      <c r="D182" s="24">
        <v>2.3341189999999998</v>
      </c>
      <c r="E182" s="24">
        <v>7.6455029999999997</v>
      </c>
      <c r="F182" s="24">
        <v>0.93424300000000005</v>
      </c>
      <c r="G182" s="24">
        <v>14.799557</v>
      </c>
    </row>
    <row r="183" spans="1:7" x14ac:dyDescent="0.2">
      <c r="A183" s="21">
        <v>46160</v>
      </c>
      <c r="B183" s="24">
        <v>1.2548299999999999</v>
      </c>
      <c r="C183" s="24">
        <v>0.700515</v>
      </c>
      <c r="D183" s="24">
        <v>2.164015</v>
      </c>
      <c r="E183" s="24">
        <v>7.643535</v>
      </c>
      <c r="F183" s="24">
        <v>0.90795300000000001</v>
      </c>
      <c r="G183" s="24">
        <v>14.964658</v>
      </c>
    </row>
    <row r="184" spans="1:7" x14ac:dyDescent="0.2">
      <c r="A184" s="21">
        <v>46161</v>
      </c>
      <c r="B184" s="24">
        <v>1.247676</v>
      </c>
      <c r="C184" s="24">
        <v>0.67904299999999995</v>
      </c>
      <c r="D184" s="24">
        <v>2.3044660000000001</v>
      </c>
      <c r="E184" s="24">
        <v>7.7735339999999997</v>
      </c>
      <c r="F184" s="24">
        <v>0.95436500000000002</v>
      </c>
      <c r="G184" s="24">
        <v>14.927337</v>
      </c>
    </row>
    <row r="185" spans="1:7" x14ac:dyDescent="0.2">
      <c r="A185" s="21">
        <v>46162</v>
      </c>
      <c r="B185" s="24">
        <v>1.250014</v>
      </c>
      <c r="C185" s="24">
        <v>0.67327000000000004</v>
      </c>
      <c r="D185" s="24">
        <v>2.3042310000000001</v>
      </c>
      <c r="E185" s="24">
        <v>7.6493029999999997</v>
      </c>
      <c r="F185" s="24">
        <v>0.91559999999999997</v>
      </c>
      <c r="G185" s="24">
        <v>14.797813</v>
      </c>
    </row>
    <row r="186" spans="1:7" x14ac:dyDescent="0.2">
      <c r="A186" s="21">
        <v>46163</v>
      </c>
      <c r="B186" s="24">
        <v>1.2569440000000001</v>
      </c>
      <c r="C186" s="24">
        <v>0.67449599999999998</v>
      </c>
      <c r="D186" s="24">
        <v>2.231697</v>
      </c>
      <c r="E186" s="24">
        <v>7.4985710000000001</v>
      </c>
      <c r="F186" s="24">
        <v>0.86063599999999996</v>
      </c>
      <c r="G186" s="24">
        <v>14.842003</v>
      </c>
    </row>
    <row r="187" spans="1:7" x14ac:dyDescent="0.2">
      <c r="A187" s="21">
        <v>46164</v>
      </c>
      <c r="B187" s="24">
        <v>1.2675920000000001</v>
      </c>
      <c r="C187" s="24">
        <v>0.67511200000000005</v>
      </c>
      <c r="D187" s="24">
        <v>1.9695499999999999</v>
      </c>
      <c r="E187" s="24">
        <v>7.3468540000000004</v>
      </c>
      <c r="F187" s="24">
        <v>0.98474200000000001</v>
      </c>
      <c r="G187" s="24">
        <v>15.581269000000001</v>
      </c>
    </row>
    <row r="188" spans="1:7" x14ac:dyDescent="0.2">
      <c r="A188" s="21">
        <v>46167</v>
      </c>
      <c r="B188" s="24">
        <v>1.274524</v>
      </c>
      <c r="C188" s="24">
        <v>0.68696999999999997</v>
      </c>
      <c r="D188" s="24">
        <v>1.71078</v>
      </c>
      <c r="E188" s="24">
        <v>7.0827960000000001</v>
      </c>
      <c r="F188" s="24">
        <v>0.95751299999999995</v>
      </c>
      <c r="G188" s="24">
        <v>15.889504000000001</v>
      </c>
    </row>
    <row r="189" spans="1:7" x14ac:dyDescent="0.2">
      <c r="A189" s="21">
        <v>46168</v>
      </c>
      <c r="B189" s="24">
        <v>1.278278</v>
      </c>
      <c r="C189" s="24">
        <v>0.67599399999999998</v>
      </c>
      <c r="D189" s="24">
        <v>1.8470089999999999</v>
      </c>
      <c r="E189" s="24">
        <v>7.168526</v>
      </c>
      <c r="F189" s="24">
        <v>0.97498799999999997</v>
      </c>
      <c r="G189" s="24">
        <v>15.774611</v>
      </c>
    </row>
    <row r="190" spans="1:7" x14ac:dyDescent="0.2">
      <c r="A190" s="21">
        <v>46169</v>
      </c>
      <c r="B190" s="24">
        <v>1.297148</v>
      </c>
      <c r="C190" s="24">
        <v>0.68361799999999995</v>
      </c>
      <c r="D190" s="24">
        <v>1.8532230000000001</v>
      </c>
      <c r="E190" s="24">
        <v>7.1154510000000002</v>
      </c>
      <c r="F190" s="24">
        <v>0.86948099999999995</v>
      </c>
      <c r="G190" s="24">
        <v>15.534298</v>
      </c>
    </row>
    <row r="191" spans="1:7" x14ac:dyDescent="0.2">
      <c r="A191" s="21">
        <v>46170</v>
      </c>
      <c r="B191" s="24">
        <v>1.312516</v>
      </c>
      <c r="C191" s="24">
        <v>0.71069499999999997</v>
      </c>
      <c r="D191" s="24">
        <v>1.700558</v>
      </c>
      <c r="E191" s="24">
        <v>7.1296200000000001</v>
      </c>
      <c r="F191" s="24">
        <v>0.95299199999999995</v>
      </c>
      <c r="G191" s="24">
        <v>15.868938999999999</v>
      </c>
    </row>
    <row r="192" spans="1:7" x14ac:dyDescent="0.2">
      <c r="A192" s="21">
        <v>46171</v>
      </c>
      <c r="B192" s="24">
        <v>1.326781</v>
      </c>
      <c r="C192" s="24">
        <v>0.72420899999999999</v>
      </c>
      <c r="D192" s="24">
        <v>1.5903579999999999</v>
      </c>
      <c r="E192" s="24">
        <v>7.0623079999999998</v>
      </c>
      <c r="F192" s="24">
        <v>0.93183499999999997</v>
      </c>
      <c r="G192" s="24">
        <v>15.947233000000001</v>
      </c>
    </row>
    <row r="193" spans="1:7" x14ac:dyDescent="0.2">
      <c r="A193" s="21">
        <v>46174</v>
      </c>
      <c r="B193" s="24">
        <v>1.330382</v>
      </c>
      <c r="C193" s="24">
        <v>0.70005200000000001</v>
      </c>
      <c r="D193" s="24">
        <v>1.8167549999999999</v>
      </c>
      <c r="E193" s="24">
        <v>7.1301839999999999</v>
      </c>
      <c r="F193" s="24">
        <v>0.96676300000000004</v>
      </c>
      <c r="G193" s="24">
        <v>15.839369</v>
      </c>
    </row>
    <row r="194" spans="1:7" x14ac:dyDescent="0.2">
      <c r="A194" s="21">
        <v>46175</v>
      </c>
      <c r="B194" s="24">
        <v>1.3114250000000001</v>
      </c>
      <c r="C194" s="24">
        <v>0.69430800000000004</v>
      </c>
      <c r="D194" s="24">
        <v>1.88331</v>
      </c>
      <c r="E194" s="24">
        <v>7.0656129999999999</v>
      </c>
      <c r="F194" s="24">
        <v>0.92843799999999999</v>
      </c>
      <c r="G194" s="24">
        <v>16.061136999999999</v>
      </c>
    </row>
    <row r="195" spans="1:7" x14ac:dyDescent="0.2">
      <c r="A195" s="21">
        <v>46176</v>
      </c>
      <c r="B195" s="24">
        <v>1.3161510000000001</v>
      </c>
      <c r="C195" s="24">
        <v>0.70970800000000001</v>
      </c>
      <c r="D195" s="24">
        <v>1.899519</v>
      </c>
      <c r="E195" s="24">
        <v>7.1661910000000004</v>
      </c>
      <c r="F195" s="24">
        <v>0.95869899999999997</v>
      </c>
      <c r="G195" s="24">
        <v>15.961285999999999</v>
      </c>
    </row>
    <row r="196" spans="1:7" x14ac:dyDescent="0.2">
      <c r="A196" s="21">
        <v>46177</v>
      </c>
      <c r="B196" s="24">
        <v>1.3394079999999999</v>
      </c>
      <c r="C196" s="24">
        <v>0.74801899999999999</v>
      </c>
      <c r="D196" s="24">
        <v>1.7356290000000001</v>
      </c>
      <c r="E196" s="24">
        <v>7.1158489999999999</v>
      </c>
      <c r="F196" s="24">
        <v>0.96634799999999998</v>
      </c>
      <c r="G196" s="24">
        <v>15.856169</v>
      </c>
    </row>
    <row r="197" spans="1:7" x14ac:dyDescent="0.2">
      <c r="A197" s="21">
        <v>46178</v>
      </c>
      <c r="B197" s="24">
        <v>1.330389</v>
      </c>
      <c r="C197" s="24">
        <v>0.76334400000000002</v>
      </c>
      <c r="D197" s="24">
        <v>1.7642690000000001</v>
      </c>
      <c r="E197" s="24">
        <v>7.1950099999999999</v>
      </c>
      <c r="F197" s="24">
        <v>1.0047600000000001</v>
      </c>
      <c r="G197" s="24">
        <v>15.919159000000001</v>
      </c>
    </row>
    <row r="198" spans="1:7" x14ac:dyDescent="0.2">
      <c r="A198" s="21">
        <v>46181</v>
      </c>
      <c r="B198" s="24">
        <v>1.3158080000000001</v>
      </c>
      <c r="C198" s="24">
        <v>0.78509099999999998</v>
      </c>
      <c r="D198" s="24">
        <v>1.8618980000000001</v>
      </c>
      <c r="E198" s="24">
        <v>7.24031</v>
      </c>
      <c r="F198" s="24">
        <v>0.98552899999999999</v>
      </c>
      <c r="G198" s="24">
        <v>15.874693000000001</v>
      </c>
    </row>
    <row r="199" spans="1:7" x14ac:dyDescent="0.2">
      <c r="A199" s="21">
        <v>46182</v>
      </c>
      <c r="B199" s="24">
        <v>1.312265</v>
      </c>
      <c r="C199" s="24">
        <v>0.78122999999999998</v>
      </c>
      <c r="D199" s="24">
        <v>1.914291</v>
      </c>
      <c r="E199" s="24">
        <v>7.2896729999999996</v>
      </c>
      <c r="F199" s="24">
        <v>0.90951400000000004</v>
      </c>
      <c r="G199" s="24">
        <v>15.600742</v>
      </c>
    </row>
    <row r="200" spans="1:7" x14ac:dyDescent="0.2">
      <c r="A200" s="21">
        <v>46183</v>
      </c>
      <c r="B200" s="24">
        <v>1.320989</v>
      </c>
      <c r="C200" s="24">
        <v>0.79608199999999996</v>
      </c>
      <c r="D200" s="24">
        <v>1.8904780000000001</v>
      </c>
      <c r="E200" s="24">
        <v>7.2695230000000004</v>
      </c>
      <c r="F200" s="24">
        <v>0.927091</v>
      </c>
      <c r="G200" s="24">
        <v>15.453865</v>
      </c>
    </row>
    <row r="201" spans="1:7" x14ac:dyDescent="0.2">
      <c r="A201" s="21">
        <v>46184</v>
      </c>
      <c r="B201" s="24">
        <v>1.3407370000000001</v>
      </c>
      <c r="C201" s="24">
        <v>0.801759</v>
      </c>
      <c r="D201" s="24">
        <v>1.8322750000000001</v>
      </c>
      <c r="E201" s="24">
        <v>7.1157630000000003</v>
      </c>
      <c r="F201" s="24">
        <v>0.87099800000000005</v>
      </c>
      <c r="G201" s="24">
        <v>15.520555999999999</v>
      </c>
    </row>
    <row r="202" spans="1:7" x14ac:dyDescent="0.2">
      <c r="A202" s="21">
        <v>46185</v>
      </c>
      <c r="B202" s="24">
        <v>1.30874</v>
      </c>
      <c r="C202" s="24">
        <v>0.78458399999999995</v>
      </c>
      <c r="D202" s="24">
        <v>1.7298770000000001</v>
      </c>
      <c r="E202" s="24">
        <v>7.2360389999999999</v>
      </c>
      <c r="F202" s="24">
        <v>0.99304000000000003</v>
      </c>
      <c r="G202" s="24">
        <v>15.935159000000001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showGridLines="0" tabSelected="1" zoomScaleNormal="100" workbookViewId="0">
      <selection activeCell="B18" sqref="B18"/>
    </sheetView>
  </sheetViews>
  <sheetFormatPr baseColWidth="10" defaultColWidth="8.6640625" defaultRowHeight="15" x14ac:dyDescent="0.2"/>
  <cols>
    <col min="1" max="1" width="34" customWidth="1"/>
    <col min="2" max="7" width="15" customWidth="1"/>
  </cols>
  <sheetData>
    <row r="1" spans="1:7" ht="18" x14ac:dyDescent="0.2">
      <c r="A1" s="2" t="s">
        <v>145</v>
      </c>
    </row>
    <row r="3" spans="1:7" ht="16" x14ac:dyDescent="0.2">
      <c r="A3" s="25" t="s">
        <v>146</v>
      </c>
    </row>
    <row r="4" spans="1:7" ht="15" customHeight="1" x14ac:dyDescent="0.2">
      <c r="A4" s="1" t="s">
        <v>147</v>
      </c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9" spans="1:7" ht="16" x14ac:dyDescent="0.2">
      <c r="A9" s="25" t="s">
        <v>148</v>
      </c>
    </row>
    <row r="11" spans="1:7" x14ac:dyDescent="0.2">
      <c r="A11" s="6" t="s">
        <v>149</v>
      </c>
      <c r="B11" s="6" t="s">
        <v>150</v>
      </c>
      <c r="C11" s="6" t="s">
        <v>151</v>
      </c>
    </row>
    <row r="12" spans="1:7" x14ac:dyDescent="0.2">
      <c r="A12" s="26" t="s">
        <v>152</v>
      </c>
      <c r="B12" s="26" t="s">
        <v>153</v>
      </c>
      <c r="C12" s="26" t="s">
        <v>154</v>
      </c>
    </row>
    <row r="13" spans="1:7" x14ac:dyDescent="0.2">
      <c r="A13" s="26" t="s">
        <v>155</v>
      </c>
      <c r="B13" s="26" t="s">
        <v>156</v>
      </c>
      <c r="C13" s="26" t="s">
        <v>157</v>
      </c>
    </row>
    <row r="14" spans="1:7" x14ac:dyDescent="0.2">
      <c r="A14" s="26" t="s">
        <v>158</v>
      </c>
      <c r="B14" s="26" t="s">
        <v>159</v>
      </c>
      <c r="C14" s="26" t="s">
        <v>160</v>
      </c>
    </row>
    <row r="17" spans="1:4" x14ac:dyDescent="0.2">
      <c r="A17" s="4" t="s">
        <v>161</v>
      </c>
    </row>
    <row r="18" spans="1:4" x14ac:dyDescent="0.2">
      <c r="A18" s="27" t="s">
        <v>162</v>
      </c>
      <c r="B18" s="28" t="e">
        <f>(1-EXP(-T_d/SVT1))/(T_d/SVT1)</f>
        <v>#DIV/0!</v>
      </c>
    </row>
    <row r="19" spans="1:4" x14ac:dyDescent="0.2">
      <c r="A19" s="27" t="s">
        <v>163</v>
      </c>
      <c r="B19" s="28" t="e">
        <f>(1-EXP(-T_d/SVT1))/(T_d/SVT1)-EXP(-T_d/SVT1)</f>
        <v>#DIV/0!</v>
      </c>
    </row>
    <row r="20" spans="1:4" x14ac:dyDescent="0.2">
      <c r="A20" s="27" t="s">
        <v>164</v>
      </c>
      <c r="B20" s="28" t="e">
        <f>(1-EXP(-T_d/SVT2))/(T_d/SVT2)-EXP(-T_d/SVT2)</f>
        <v>#DIV/0!</v>
      </c>
    </row>
    <row r="21" spans="1:4" x14ac:dyDescent="0.2">
      <c r="A21" s="27" t="s">
        <v>165</v>
      </c>
      <c r="B21" s="29" t="e">
        <f>(svb0+SVB1*B18+SVB2*B19+SVB3*B20)/100</f>
        <v>#DIV/0!</v>
      </c>
    </row>
    <row r="22" spans="1:4" x14ac:dyDescent="0.2">
      <c r="A22" s="27" t="s">
        <v>166</v>
      </c>
      <c r="B22" s="22" t="e">
        <f>S0_d*EXP(-B21*T_d)</f>
        <v>#DIV/0!</v>
      </c>
    </row>
    <row r="23" spans="1:4" x14ac:dyDescent="0.2">
      <c r="A23" s="27" t="s">
        <v>167</v>
      </c>
      <c r="B23" s="28" t="e">
        <f>(LN(S0_d/K_d)+(B21-q+0.5*Sig_d^2)*T_d)/(Sig_d*SQRT(T_d))</f>
        <v>#DIV/0!</v>
      </c>
    </row>
    <row r="24" spans="1:4" x14ac:dyDescent="0.2">
      <c r="A24" s="27" t="s">
        <v>168</v>
      </c>
      <c r="B24" s="22" t="e">
        <f>S0_d*EXP(-q*T_d)*NORMSDIST(B23)-K_d*EXP(-B21*T_d)*NORMSDIST(B23-Sig_d*SQRT(T_d))</f>
        <v>#DIV/0!</v>
      </c>
    </row>
    <row r="25" spans="1:4" x14ac:dyDescent="0.2">
      <c r="A25" s="27" t="s">
        <v>169</v>
      </c>
      <c r="B25" s="28" t="e">
        <f>(LN(S0_d/KCap_d)+(B21-q+0.5*Sig_d^2)*T_d)/(Sig_d*SQRT(T_d))</f>
        <v>#DIV/0!</v>
      </c>
    </row>
    <row r="26" spans="1:4" x14ac:dyDescent="0.2">
      <c r="A26" s="27" t="s">
        <v>170</v>
      </c>
      <c r="B26" s="22" t="e">
        <f>S0_d*EXP(-q*T_d)*NORMSDIST(B25)-KCap_d*EXP(-B21*T_d)*NORMSDIST(B25-Sig_d*SQRT(T_d))</f>
        <v>#DIV/0!</v>
      </c>
    </row>
    <row r="27" spans="1:4" x14ac:dyDescent="0.2">
      <c r="A27" s="27" t="s">
        <v>171</v>
      </c>
      <c r="B27" s="22" t="e">
        <f>B24-B26</f>
        <v>#DIV/0!</v>
      </c>
    </row>
    <row r="28" spans="1:4" x14ac:dyDescent="0.2">
      <c r="A28" s="27" t="s">
        <v>172</v>
      </c>
      <c r="B28" s="30" t="e">
        <f>(S0_d-B22)/B27</f>
        <v>#DIV/0!</v>
      </c>
    </row>
    <row r="29" spans="1:4" x14ac:dyDescent="0.2">
      <c r="A29" s="27" t="s">
        <v>173</v>
      </c>
      <c r="B29" s="30" t="e">
        <f>B28*(KCap_d-K_d)/S0_d</f>
        <v>#DIV/0!</v>
      </c>
    </row>
    <row r="31" spans="1:4" ht="16" x14ac:dyDescent="0.2">
      <c r="A31" s="25" t="s">
        <v>174</v>
      </c>
    </row>
    <row r="32" spans="1:4" x14ac:dyDescent="0.2">
      <c r="A32" s="6" t="s">
        <v>175</v>
      </c>
      <c r="B32" s="6" t="s">
        <v>176</v>
      </c>
      <c r="C32" s="6" t="s">
        <v>177</v>
      </c>
      <c r="D32" s="6" t="s">
        <v>178</v>
      </c>
    </row>
    <row r="33" spans="1:4" x14ac:dyDescent="0.2">
      <c r="A33" s="10">
        <v>0.5</v>
      </c>
      <c r="B33" s="22">
        <f>A33*S0_d</f>
        <v>603.5</v>
      </c>
      <c r="C33" s="22" t="e">
        <f t="shared" ref="C33:C42" si="0">S0_d+B$28*(MAX(B33-K_d,0)-MAX(B33-KCap_d,0))</f>
        <v>#DIV/0!</v>
      </c>
      <c r="D33" s="23" t="e">
        <f t="shared" ref="D33:D42" si="1">C33/S0_d-1</f>
        <v>#DIV/0!</v>
      </c>
    </row>
    <row r="34" spans="1:4" x14ac:dyDescent="0.2">
      <c r="A34" s="10">
        <v>0.7</v>
      </c>
      <c r="B34" s="22">
        <f t="shared" ref="B33:B42" si="2">A34*S0_d</f>
        <v>844.9</v>
      </c>
      <c r="C34" s="22" t="e">
        <f t="shared" si="0"/>
        <v>#DIV/0!</v>
      </c>
      <c r="D34" s="23" t="e">
        <f t="shared" si="1"/>
        <v>#DIV/0!</v>
      </c>
    </row>
    <row r="35" spans="1:4" x14ac:dyDescent="0.2">
      <c r="A35" s="10">
        <v>0.8</v>
      </c>
      <c r="B35" s="22">
        <f t="shared" si="2"/>
        <v>965.6</v>
      </c>
      <c r="C35" s="22" t="e">
        <f t="shared" si="0"/>
        <v>#DIV/0!</v>
      </c>
      <c r="D35" s="23" t="e">
        <f t="shared" si="1"/>
        <v>#DIV/0!</v>
      </c>
    </row>
    <row r="36" spans="1:4" x14ac:dyDescent="0.2">
      <c r="A36" s="10">
        <v>0.9</v>
      </c>
      <c r="B36" s="22">
        <f t="shared" si="2"/>
        <v>1086.3</v>
      </c>
      <c r="C36" s="22" t="e">
        <f t="shared" si="0"/>
        <v>#DIV/0!</v>
      </c>
      <c r="D36" s="23" t="e">
        <f t="shared" si="1"/>
        <v>#DIV/0!</v>
      </c>
    </row>
    <row r="37" spans="1:4" x14ac:dyDescent="0.2">
      <c r="A37" s="10">
        <v>1</v>
      </c>
      <c r="B37" s="22">
        <f t="shared" si="2"/>
        <v>1207</v>
      </c>
      <c r="C37" s="22" t="e">
        <f t="shared" si="0"/>
        <v>#DIV/0!</v>
      </c>
      <c r="D37" s="23" t="e">
        <f t="shared" si="1"/>
        <v>#DIV/0!</v>
      </c>
    </row>
    <row r="38" spans="1:4" x14ac:dyDescent="0.2">
      <c r="A38" s="10">
        <v>1.1000000000000001</v>
      </c>
      <c r="B38" s="22">
        <f t="shared" si="2"/>
        <v>1327.7</v>
      </c>
      <c r="C38" s="22" t="e">
        <f t="shared" si="0"/>
        <v>#DIV/0!</v>
      </c>
      <c r="D38" s="23" t="e">
        <f t="shared" si="1"/>
        <v>#DIV/0!</v>
      </c>
    </row>
    <row r="39" spans="1:4" x14ac:dyDescent="0.2">
      <c r="A39" s="10">
        <v>1.2</v>
      </c>
      <c r="B39" s="22">
        <f t="shared" si="2"/>
        <v>1448.3999999999999</v>
      </c>
      <c r="C39" s="22" t="e">
        <f t="shared" si="0"/>
        <v>#DIV/0!</v>
      </c>
      <c r="D39" s="23" t="e">
        <f t="shared" si="1"/>
        <v>#DIV/0!</v>
      </c>
    </row>
    <row r="40" spans="1:4" x14ac:dyDescent="0.2">
      <c r="A40" s="10">
        <v>1.3</v>
      </c>
      <c r="B40" s="22">
        <f t="shared" si="2"/>
        <v>1569.1000000000001</v>
      </c>
      <c r="C40" s="22" t="e">
        <f t="shared" si="0"/>
        <v>#DIV/0!</v>
      </c>
      <c r="D40" s="23" t="e">
        <f t="shared" si="1"/>
        <v>#DIV/0!</v>
      </c>
    </row>
    <row r="41" spans="1:4" x14ac:dyDescent="0.2">
      <c r="A41" s="10">
        <v>1.4</v>
      </c>
      <c r="B41" s="22">
        <f t="shared" si="2"/>
        <v>1689.8</v>
      </c>
      <c r="C41" s="22" t="e">
        <f t="shared" si="0"/>
        <v>#DIV/0!</v>
      </c>
      <c r="D41" s="23" t="e">
        <f t="shared" si="1"/>
        <v>#DIV/0!</v>
      </c>
    </row>
    <row r="42" spans="1:4" x14ac:dyDescent="0.2">
      <c r="A42" s="10">
        <v>1.6</v>
      </c>
      <c r="B42" s="22">
        <f t="shared" si="2"/>
        <v>1931.2</v>
      </c>
      <c r="C42" s="22" t="e">
        <f t="shared" si="0"/>
        <v>#DIV/0!</v>
      </c>
      <c r="D42" s="23" t="e">
        <f t="shared" si="1"/>
        <v>#DIV/0!</v>
      </c>
    </row>
    <row r="44" spans="1:4" ht="16" x14ac:dyDescent="0.2">
      <c r="A44" s="25" t="s">
        <v>179</v>
      </c>
    </row>
    <row r="45" spans="1:4" x14ac:dyDescent="0.2">
      <c r="A45" s="4" t="s">
        <v>180</v>
      </c>
      <c r="B45" s="31">
        <v>112</v>
      </c>
      <c r="C45" s="9" t="s">
        <v>181</v>
      </c>
    </row>
    <row r="46" spans="1:4" x14ac:dyDescent="0.2">
      <c r="A46" s="4" t="s">
        <v>182</v>
      </c>
      <c r="B46" s="14">
        <v>3.7999999999999999E-2</v>
      </c>
      <c r="C46" s="9" t="s">
        <v>183</v>
      </c>
    </row>
    <row r="47" spans="1:4" x14ac:dyDescent="0.2">
      <c r="A47" s="4" t="s">
        <v>184</v>
      </c>
      <c r="B47" s="32">
        <f>B45*B46</f>
        <v>4.2560000000000002</v>
      </c>
    </row>
    <row r="48" spans="1:4" x14ac:dyDescent="0.2">
      <c r="A48" s="4" t="s">
        <v>185</v>
      </c>
      <c r="B48" s="14">
        <v>0.55000000000000004</v>
      </c>
      <c r="C48" s="9" t="s">
        <v>186</v>
      </c>
    </row>
    <row r="49" spans="1:3" x14ac:dyDescent="0.2">
      <c r="A49" s="4" t="s">
        <v>187</v>
      </c>
      <c r="B49" s="32">
        <f>B47*B48</f>
        <v>2.3408000000000002</v>
      </c>
    </row>
    <row r="50" spans="1:3" x14ac:dyDescent="0.2">
      <c r="A50" s="4" t="s">
        <v>188</v>
      </c>
      <c r="B50" s="33">
        <v>130</v>
      </c>
      <c r="C50" s="9" t="s">
        <v>189</v>
      </c>
    </row>
    <row r="51" spans="1:3" x14ac:dyDescent="0.2">
      <c r="A51" s="4" t="s">
        <v>190</v>
      </c>
      <c r="B51" s="34">
        <f>B47*1000/B50</f>
        <v>32.738461538461536</v>
      </c>
    </row>
  </sheetData>
  <mergeCells count="1">
    <mergeCell ref="A4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9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1" customWidth="1"/>
    <col min="2" max="32" width="10" customWidth="1"/>
  </cols>
  <sheetData>
    <row r="1" spans="1:32" ht="18" x14ac:dyDescent="0.2">
      <c r="A1" s="2" t="s">
        <v>191</v>
      </c>
    </row>
    <row r="2" spans="1:32" x14ac:dyDescent="0.2">
      <c r="A2" s="9" t="s">
        <v>192</v>
      </c>
    </row>
    <row r="3" spans="1:32" ht="27" x14ac:dyDescent="0.2">
      <c r="A3" s="6" t="s">
        <v>127</v>
      </c>
      <c r="B3" s="6" t="s">
        <v>193</v>
      </c>
      <c r="C3" s="6" t="s">
        <v>194</v>
      </c>
      <c r="D3" s="6" t="s">
        <v>195</v>
      </c>
      <c r="E3" s="6" t="s">
        <v>139</v>
      </c>
      <c r="F3" s="6" t="s">
        <v>140</v>
      </c>
      <c r="G3" s="6" t="s">
        <v>141</v>
      </c>
      <c r="H3" s="6" t="s">
        <v>142</v>
      </c>
      <c r="I3" s="6" t="s">
        <v>143</v>
      </c>
      <c r="J3" s="6" t="s">
        <v>144</v>
      </c>
      <c r="K3" s="6" t="s">
        <v>196</v>
      </c>
      <c r="L3" s="6" t="s">
        <v>197</v>
      </c>
      <c r="M3" s="6" t="s">
        <v>198</v>
      </c>
      <c r="N3" s="6" t="s">
        <v>199</v>
      </c>
      <c r="O3" s="6" t="s">
        <v>200</v>
      </c>
      <c r="P3" s="6" t="s">
        <v>201</v>
      </c>
      <c r="Q3" s="6" t="s">
        <v>202</v>
      </c>
      <c r="R3" s="6" t="s">
        <v>203</v>
      </c>
      <c r="S3" s="6" t="s">
        <v>204</v>
      </c>
      <c r="T3" s="6" t="s">
        <v>205</v>
      </c>
      <c r="U3" s="6" t="s">
        <v>206</v>
      </c>
      <c r="V3" s="6" t="s">
        <v>207</v>
      </c>
      <c r="W3" s="6" t="s">
        <v>208</v>
      </c>
      <c r="X3" s="6" t="s">
        <v>209</v>
      </c>
      <c r="Y3" s="6" t="s">
        <v>210</v>
      </c>
      <c r="Z3" s="6" t="s">
        <v>211</v>
      </c>
      <c r="AA3" s="6" t="s">
        <v>212</v>
      </c>
      <c r="AB3" s="6" t="s">
        <v>213</v>
      </c>
      <c r="AC3" s="6" t="s">
        <v>214</v>
      </c>
      <c r="AD3" s="6" t="s">
        <v>215</v>
      </c>
      <c r="AE3" s="6" t="s">
        <v>216</v>
      </c>
      <c r="AF3" s="6" t="s">
        <v>217</v>
      </c>
    </row>
    <row r="4" spans="1:32" x14ac:dyDescent="0.2">
      <c r="A4" s="35">
        <f>Data_Stock!A4</f>
        <v>45904</v>
      </c>
      <c r="B4" s="36">
        <f>Data_Stock!B4</f>
        <v>1707.93</v>
      </c>
      <c r="C4" s="37">
        <f>Data_Stock!C4</f>
        <v>0.39</v>
      </c>
      <c r="D4" s="38">
        <f t="shared" ref="D4:D35" si="0">MAX((MaturityDate-A4)/365,1/365)</f>
        <v>1.7863013698630137</v>
      </c>
      <c r="E4" s="28">
        <f>INDEX(Data_Svensson!$B$4:$B$202,MATCH($A4,Data_Svensson!$A$4:$A$202,1))</f>
        <v>1.1683429999999999</v>
      </c>
      <c r="F4" s="28">
        <f>INDEX(Data_Svensson!$C$4:$C$202,MATCH($A4,Data_Svensson!$A$4:$A$202,1))</f>
        <v>0.79145600000000005</v>
      </c>
      <c r="G4" s="28">
        <f>INDEX(Data_Svensson!$D$4:$D$202,MATCH($A4,Data_Svensson!$A$4:$A$202,1))</f>
        <v>-1.558745</v>
      </c>
      <c r="H4" s="28">
        <f>INDEX(Data_Svensson!$E$4:$E$202,MATCH($A4,Data_Svensson!$A$4:$A$202,1))</f>
        <v>7.5476260000000002</v>
      </c>
      <c r="I4" s="28">
        <f>INDEX(Data_Svensson!$F$4:$F$202,MATCH($A4,Data_Svensson!$A$4:$A$202,1))</f>
        <v>2.8773659999999999</v>
      </c>
      <c r="J4" s="28">
        <f>INDEX(Data_Svensson!$G$4:$G$202,MATCH($A4,Data_Svensson!$A$4:$A$202,1))</f>
        <v>12.757641</v>
      </c>
      <c r="K4" s="28">
        <f t="shared" ref="K4:K35" si="1">(1-EXP(-D4/I4))/(D4/I4)</f>
        <v>0.74497970099414879</v>
      </c>
      <c r="L4" s="28">
        <f t="shared" ref="L4:L35" si="2">K4-EXP(-D4/I4)</f>
        <v>0.20747152873034447</v>
      </c>
      <c r="M4" s="28">
        <f t="shared" ref="M4:M35" si="3">(1-EXP(-D4/J4))/(D4/J4)-EXP(-D4/J4)</f>
        <v>6.3804736492944825E-2</v>
      </c>
      <c r="N4" s="29">
        <f t="shared" ref="N4:N35" si="4">(E4+F4*K4+G4*L4+H4*M4)/100</f>
        <v>1.9161407342565429E-2</v>
      </c>
      <c r="O4" s="29">
        <f t="shared" ref="O4:O35" si="5">N4-q</f>
        <v>1.3161407342565429E-2</v>
      </c>
      <c r="P4" s="28">
        <f t="shared" ref="P4:P35" si="6">C4*SQRT(D4)</f>
        <v>0.52124508473093956</v>
      </c>
      <c r="Q4" s="28">
        <f t="shared" ref="Q4:Q35" si="7">(O4-0.5*C4^2)/C4^2</f>
        <v>-0.41346872227110171</v>
      </c>
      <c r="R4" s="28">
        <f t="shared" ref="R4:R35" si="8">LN(B4/Cap)/P4+(1+Q4)*P4</f>
        <v>2.8650428506724057E-3</v>
      </c>
      <c r="S4" s="28">
        <f t="shared" ref="S4:S35" si="9">LN(B4/Barrier)/P4+(1+Q4)*P4</f>
        <v>1.2390532300699775</v>
      </c>
      <c r="T4" s="28">
        <f t="shared" ref="T4:T35" si="10">LN(Barrier^2/(B4*Cap))/P4+(1+Q4)*P4</f>
        <v>-1.8637883261749908</v>
      </c>
      <c r="U4" s="28">
        <f t="shared" ref="U4:U35" si="11">LN(Barrier/B4)/P4+(1+Q4)*P4</f>
        <v>-0.627600138955686</v>
      </c>
      <c r="V4" s="28">
        <f t="shared" ref="V4:V35" si="12">-B4*EXP((O4-N4)*D4)*NORMSDIST(-R4)+Cap*EXP(-N4*D4)*NORMSDIST(-R4+P4)</f>
        <v>505.90959192862374</v>
      </c>
      <c r="W4" s="28">
        <f t="shared" ref="W4:W35" si="13">-B4*EXP((O4-N4)*D4)*NORMSDIST(-S4)+Cap*EXP(-N4*D4)*NORMSDIST(-S4+P4)</f>
        <v>275.04343872478137</v>
      </c>
      <c r="X4" s="28">
        <f t="shared" ref="X4:X35" si="14">-B4*EXP((O4-N4)*D4)*(Barrier/B4)^(2*(Q4+1))*NORMSDIST(T4)+Cap*EXP(-N4*D4)*(Barrier/B4)^(2*Q4)*NORMSDIST(T4-P4)</f>
        <v>-5.0943832501552855</v>
      </c>
      <c r="Y4" s="28">
        <f t="shared" ref="Y4:Y35" si="15">-B4*EXP((O4-N4)*D4)*(Barrier/B4)^(2*(Q4+1))*NORMSDIST(U4)+Cap*EXP(-N4*D4)*(Barrier/B4)^(2*Q4)*NORMSDIST(U4-P4)</f>
        <v>108.94909456258767</v>
      </c>
      <c r="Z4" s="28">
        <f t="shared" ref="Z4:Z35" si="16">IF(B4&lt;=Barrier,0,V4-W4+X4-Y4)</f>
        <v>116.82267539109941</v>
      </c>
      <c r="AA4" s="28">
        <f t="shared" ref="AA4:AA35" si="17">Cap*EXP(-N4*D4)-V4</f>
        <v>1426.7926178563637</v>
      </c>
      <c r="AB4" s="32">
        <f t="shared" ref="AB4:AB35" si="18">AA4+Z4</f>
        <v>1543.6152932474631</v>
      </c>
      <c r="AC4" s="22">
        <f>INDEX(Data_Cert!$E$4:$E$195,MATCH($A4,Data_Cert!$A$4:$A$195,0))</f>
        <v>1635.75</v>
      </c>
      <c r="AD4" s="22">
        <f t="shared" ref="AD4:AD35" si="19">AB4-AC4</f>
        <v>-92.134706752536886</v>
      </c>
      <c r="AE4" s="23">
        <f t="shared" ref="AE4:AE35" si="20">AD4/AC4</f>
        <v>-5.6325665139866657E-2</v>
      </c>
      <c r="AF4" s="36">
        <f>Data_Stock!D4</f>
        <v>1558.89</v>
      </c>
    </row>
    <row r="5" spans="1:32" x14ac:dyDescent="0.2">
      <c r="A5" s="35">
        <f>Data_Stock!A5</f>
        <v>45905</v>
      </c>
      <c r="B5" s="36">
        <f>Data_Stock!B5</f>
        <v>1727.24</v>
      </c>
      <c r="C5" s="37">
        <f>Data_Stock!C5</f>
        <v>0.38</v>
      </c>
      <c r="D5" s="38">
        <f t="shared" si="0"/>
        <v>1.7835616438356163</v>
      </c>
      <c r="E5" s="28">
        <f>INDEX(Data_Svensson!$B$4:$B$202,MATCH($A5,Data_Svensson!$A$4:$A$202,1))</f>
        <v>1.1674260000000001</v>
      </c>
      <c r="F5" s="28">
        <f>INDEX(Data_Svensson!$C$4:$C$202,MATCH($A5,Data_Svensson!$A$4:$A$202,1))</f>
        <v>0.76180700000000001</v>
      </c>
      <c r="G5" s="28">
        <f>INDEX(Data_Svensson!$D$4:$D$202,MATCH($A5,Data_Svensson!$A$4:$A$202,1))</f>
        <v>-1.8212619999999999</v>
      </c>
      <c r="H5" s="28">
        <f>INDEX(Data_Svensson!$E$4:$E$202,MATCH($A5,Data_Svensson!$A$4:$A$202,1))</f>
        <v>7.6648040000000002</v>
      </c>
      <c r="I5" s="28">
        <f>INDEX(Data_Svensson!$F$4:$F$202,MATCH($A5,Data_Svensson!$A$4:$A$202,1))</f>
        <v>3.218451</v>
      </c>
      <c r="J5" s="28">
        <f>INDEX(Data_Svensson!$G$4:$G$202,MATCH($A5,Data_Svensson!$A$4:$A$202,1))</f>
        <v>12.62628</v>
      </c>
      <c r="K5" s="28">
        <f t="shared" si="1"/>
        <v>0.76772741578297699</v>
      </c>
      <c r="L5" s="28">
        <f t="shared" si="2"/>
        <v>0.19317716527786011</v>
      </c>
      <c r="M5" s="28">
        <f t="shared" si="3"/>
        <v>6.4317118593711253E-2</v>
      </c>
      <c r="N5" s="29">
        <f t="shared" si="4"/>
        <v>1.8934379969126489E-2</v>
      </c>
      <c r="O5" s="29">
        <f t="shared" si="5"/>
        <v>1.2934379969126488E-2</v>
      </c>
      <c r="P5" s="28">
        <f t="shared" si="6"/>
        <v>0.5074901982993002</v>
      </c>
      <c r="Q5" s="28">
        <f t="shared" si="7"/>
        <v>-0.41042673151574455</v>
      </c>
      <c r="R5" s="28">
        <f t="shared" si="8"/>
        <v>1.0285899042689728E-2</v>
      </c>
      <c r="S5" s="28">
        <f t="shared" si="9"/>
        <v>1.2799794193311222</v>
      </c>
      <c r="T5" s="28">
        <f t="shared" si="10"/>
        <v>-1.9512676297494729</v>
      </c>
      <c r="U5" s="28">
        <f t="shared" si="11"/>
        <v>-0.68157410946103969</v>
      </c>
      <c r="V5" s="28">
        <f t="shared" si="12"/>
        <v>487.68272293116945</v>
      </c>
      <c r="W5" s="28">
        <f t="shared" si="13"/>
        <v>253.86213438331495</v>
      </c>
      <c r="X5" s="28">
        <f t="shared" si="14"/>
        <v>-3.961018003853102</v>
      </c>
      <c r="Y5" s="28">
        <f t="shared" si="15"/>
        <v>105.58452725585516</v>
      </c>
      <c r="Z5" s="28">
        <f t="shared" si="16"/>
        <v>124.27504328814624</v>
      </c>
      <c r="AA5" s="28">
        <f t="shared" si="17"/>
        <v>1445.9037347427247</v>
      </c>
      <c r="AB5" s="32">
        <f t="shared" si="18"/>
        <v>1570.1787780308709</v>
      </c>
      <c r="AC5" s="22">
        <f>INDEX(Data_Cert!$E$4:$E$195,MATCH($A5,Data_Cert!$A$4:$A$195,0))</f>
        <v>1648.28</v>
      </c>
      <c r="AD5" s="22">
        <f t="shared" si="19"/>
        <v>-78.101221969129028</v>
      </c>
      <c r="AE5" s="23">
        <f t="shared" si="20"/>
        <v>-4.7383467595996452E-2</v>
      </c>
      <c r="AF5" s="36">
        <f>Data_Stock!D5</f>
        <v>1571.16</v>
      </c>
    </row>
    <row r="6" spans="1:32" x14ac:dyDescent="0.2">
      <c r="A6" s="35">
        <f>Data_Stock!A6</f>
        <v>45908</v>
      </c>
      <c r="B6" s="36">
        <f>Data_Stock!B6</f>
        <v>1773.27</v>
      </c>
      <c r="C6" s="37">
        <f>Data_Stock!C6</f>
        <v>0.38300000000000001</v>
      </c>
      <c r="D6" s="38">
        <f t="shared" si="0"/>
        <v>1.7753424657534247</v>
      </c>
      <c r="E6" s="28">
        <f>INDEX(Data_Svensson!$B$4:$B$202,MATCH($A6,Data_Svensson!$A$4:$A$202,1))</f>
        <v>1.1981759999999999</v>
      </c>
      <c r="F6" s="28">
        <f>INDEX(Data_Svensson!$C$4:$C$202,MATCH($A6,Data_Svensson!$A$4:$A$202,1))</f>
        <v>0.75222500000000003</v>
      </c>
      <c r="G6" s="28">
        <f>INDEX(Data_Svensson!$D$4:$D$202,MATCH($A6,Data_Svensson!$A$4:$A$202,1))</f>
        <v>-2.297018</v>
      </c>
      <c r="H6" s="28">
        <f>INDEX(Data_Svensson!$E$4:$E$202,MATCH($A6,Data_Svensson!$A$4:$A$202,1))</f>
        <v>7.7256830000000001</v>
      </c>
      <c r="I6" s="28">
        <f>INDEX(Data_Svensson!$F$4:$F$202,MATCH($A6,Data_Svensson!$A$4:$A$202,1))</f>
        <v>3.4385750000000002</v>
      </c>
      <c r="J6" s="28">
        <f>INDEX(Data_Svensson!$G$4:$G$202,MATCH($A6,Data_Svensson!$A$4:$A$202,1))</f>
        <v>11.802636</v>
      </c>
      <c r="K6" s="28">
        <f t="shared" si="1"/>
        <v>0.78108719625538403</v>
      </c>
      <c r="L6" s="28">
        <f t="shared" si="2"/>
        <v>0.1843639225063638</v>
      </c>
      <c r="M6" s="28">
        <f t="shared" si="3"/>
        <v>6.807647944311046E-2</v>
      </c>
      <c r="N6" s="29">
        <f t="shared" si="4"/>
        <v>1.8881793675889713E-2</v>
      </c>
      <c r="O6" s="29">
        <f t="shared" si="5"/>
        <v>1.2881793675889713E-2</v>
      </c>
      <c r="P6" s="28">
        <f t="shared" si="6"/>
        <v>0.5103167751102291</v>
      </c>
      <c r="Q6" s="28">
        <f t="shared" si="7"/>
        <v>-0.41218296071355237</v>
      </c>
      <c r="R6" s="28">
        <f t="shared" si="8"/>
        <v>6.419408811766053E-2</v>
      </c>
      <c r="S6" s="28">
        <f t="shared" si="9"/>
        <v>1.3268549447029283</v>
      </c>
      <c r="T6" s="28">
        <f t="shared" si="10"/>
        <v>-1.9895700096011901</v>
      </c>
      <c r="U6" s="28">
        <f t="shared" si="11"/>
        <v>-0.72690915301592263</v>
      </c>
      <c r="V6" s="28">
        <f t="shared" si="12"/>
        <v>467.82916005173888</v>
      </c>
      <c r="W6" s="28">
        <f t="shared" si="13"/>
        <v>238.6375129022648</v>
      </c>
      <c r="X6" s="28">
        <f t="shared" si="14"/>
        <v>-3.5903793102549457</v>
      </c>
      <c r="Y6" s="28">
        <f t="shared" si="15"/>
        <v>100.36704793964543</v>
      </c>
      <c r="Z6" s="28">
        <f t="shared" si="16"/>
        <v>125.2342198995737</v>
      </c>
      <c r="AA6" s="28">
        <f t="shared" si="17"/>
        <v>1466.2387891112737</v>
      </c>
      <c r="AB6" s="32">
        <f t="shared" si="18"/>
        <v>1591.4730090108474</v>
      </c>
      <c r="AC6" s="22">
        <f>INDEX(Data_Cert!$E$4:$E$195,MATCH($A6,Data_Cert!$A$4:$A$195,0))</f>
        <v>1675.51</v>
      </c>
      <c r="AD6" s="22">
        <f t="shared" si="19"/>
        <v>-84.036990989152628</v>
      </c>
      <c r="AE6" s="23">
        <f t="shared" si="20"/>
        <v>-5.0156066504618076E-2</v>
      </c>
      <c r="AF6" s="36">
        <f>Data_Stock!D6</f>
        <v>1601.18</v>
      </c>
    </row>
    <row r="7" spans="1:32" x14ac:dyDescent="0.2">
      <c r="A7" s="35">
        <f>Data_Stock!A7</f>
        <v>45909</v>
      </c>
      <c r="B7" s="36">
        <f>Data_Stock!B7</f>
        <v>1761.39</v>
      </c>
      <c r="C7" s="37">
        <f>Data_Stock!C7</f>
        <v>0.372</v>
      </c>
      <c r="D7" s="38">
        <f t="shared" si="0"/>
        <v>1.7726027397260273</v>
      </c>
      <c r="E7" s="28">
        <f>INDEX(Data_Svensson!$B$4:$B$202,MATCH($A7,Data_Svensson!$A$4:$A$202,1))</f>
        <v>1.2051970000000001</v>
      </c>
      <c r="F7" s="28">
        <f>INDEX(Data_Svensson!$C$4:$C$202,MATCH($A7,Data_Svensson!$A$4:$A$202,1))</f>
        <v>0.74040899999999998</v>
      </c>
      <c r="G7" s="28">
        <f>INDEX(Data_Svensson!$D$4:$D$202,MATCH($A7,Data_Svensson!$A$4:$A$202,1))</f>
        <v>-1.6776759999999999</v>
      </c>
      <c r="H7" s="28">
        <f>INDEX(Data_Svensson!$E$4:$E$202,MATCH($A7,Data_Svensson!$A$4:$A$202,1))</f>
        <v>7.3941800000000004</v>
      </c>
      <c r="I7" s="28">
        <f>INDEX(Data_Svensson!$F$4:$F$202,MATCH($A7,Data_Svensson!$A$4:$A$202,1))</f>
        <v>3.0239549999999999</v>
      </c>
      <c r="J7" s="28">
        <f>INDEX(Data_Svensson!$G$4:$G$202,MATCH($A7,Data_Svensson!$A$4:$A$202,1))</f>
        <v>12.832287000000001</v>
      </c>
      <c r="K7" s="28">
        <f t="shared" si="1"/>
        <v>0.75667842347080472</v>
      </c>
      <c r="L7" s="28">
        <f t="shared" si="2"/>
        <v>0.20023338594078843</v>
      </c>
      <c r="M7" s="28">
        <f t="shared" si="3"/>
        <v>6.3025230135726029E-2</v>
      </c>
      <c r="N7" s="29">
        <f t="shared" si="4"/>
        <v>1.8955416650169796E-2</v>
      </c>
      <c r="O7" s="29">
        <f t="shared" si="5"/>
        <v>1.2955416650169796E-2</v>
      </c>
      <c r="P7" s="28">
        <f t="shared" si="6"/>
        <v>0.4952775560574561</v>
      </c>
      <c r="Q7" s="28">
        <f t="shared" si="7"/>
        <v>-0.40638067514907938</v>
      </c>
      <c r="R7" s="28">
        <f t="shared" si="8"/>
        <v>3.7495794225666235E-2</v>
      </c>
      <c r="S7" s="28">
        <f t="shared" si="9"/>
        <v>1.3384976436124429</v>
      </c>
      <c r="T7" s="28">
        <f t="shared" si="10"/>
        <v>-2.0514868361179373</v>
      </c>
      <c r="U7" s="28">
        <f t="shared" si="11"/>
        <v>-0.75048498673116071</v>
      </c>
      <c r="V7" s="28">
        <f t="shared" si="12"/>
        <v>462.87355420913866</v>
      </c>
      <c r="W7" s="28">
        <f t="shared" si="13"/>
        <v>228.4302001739872</v>
      </c>
      <c r="X7" s="28">
        <f t="shared" si="14"/>
        <v>-2.9549285896400903</v>
      </c>
      <c r="Y7" s="28">
        <f t="shared" si="15"/>
        <v>99.821330274887913</v>
      </c>
      <c r="Z7" s="28">
        <f t="shared" si="16"/>
        <v>131.66709517062347</v>
      </c>
      <c r="AA7" s="28">
        <f t="shared" si="17"/>
        <v>1471.0420479538616</v>
      </c>
      <c r="AB7" s="32">
        <f t="shared" si="18"/>
        <v>1602.7091431244851</v>
      </c>
      <c r="AC7" s="22">
        <f>INDEX(Data_Cert!$E$4:$E$195,MATCH($A7,Data_Cert!$A$4:$A$195,0))</f>
        <v>1671.59</v>
      </c>
      <c r="AD7" s="22">
        <f t="shared" si="19"/>
        <v>-68.880856875514837</v>
      </c>
      <c r="AE7" s="23">
        <f t="shared" si="20"/>
        <v>-4.12067892698059E-2</v>
      </c>
      <c r="AF7" s="36">
        <f>Data_Stock!D7</f>
        <v>1607.28</v>
      </c>
    </row>
    <row r="8" spans="1:32" x14ac:dyDescent="0.2">
      <c r="A8" s="35">
        <f>Data_Stock!A8</f>
        <v>45910</v>
      </c>
      <c r="B8" s="36">
        <f>Data_Stock!B8</f>
        <v>1819.31</v>
      </c>
      <c r="C8" s="37">
        <f>Data_Stock!C8</f>
        <v>0.38200000000000001</v>
      </c>
      <c r="D8" s="38">
        <f t="shared" si="0"/>
        <v>1.7698630136986302</v>
      </c>
      <c r="E8" s="28">
        <f>INDEX(Data_Svensson!$B$4:$B$202,MATCH($A8,Data_Svensson!$A$4:$A$202,1))</f>
        <v>1.202277</v>
      </c>
      <c r="F8" s="28">
        <f>INDEX(Data_Svensson!$C$4:$C$202,MATCH($A8,Data_Svensson!$A$4:$A$202,1))</f>
        <v>0.76165799999999995</v>
      </c>
      <c r="G8" s="28">
        <f>INDEX(Data_Svensson!$D$4:$D$202,MATCH($A8,Data_Svensson!$A$4:$A$202,1))</f>
        <v>-1.692318</v>
      </c>
      <c r="H8" s="28">
        <f>INDEX(Data_Svensson!$E$4:$E$202,MATCH($A8,Data_Svensson!$A$4:$A$202,1))</f>
        <v>7.386787</v>
      </c>
      <c r="I8" s="28">
        <f>INDEX(Data_Svensson!$F$4:$F$202,MATCH($A8,Data_Svensson!$A$4:$A$202,1))</f>
        <v>3.0262229999999999</v>
      </c>
      <c r="J8" s="28">
        <f>INDEX(Data_Svensson!$G$4:$G$202,MATCH($A8,Data_Svensson!$A$4:$A$202,1))</f>
        <v>12.836812</v>
      </c>
      <c r="K8" s="28">
        <f t="shared" si="1"/>
        <v>0.75713793149337683</v>
      </c>
      <c r="L8" s="28">
        <f t="shared" si="2"/>
        <v>0.19994416924202096</v>
      </c>
      <c r="M8" s="28">
        <f t="shared" si="3"/>
        <v>6.2916502421957232E-2</v>
      </c>
      <c r="N8" s="29">
        <f t="shared" si="4"/>
        <v>1.905338848198046E-2</v>
      </c>
      <c r="O8" s="29">
        <f t="shared" si="5"/>
        <v>1.305338848198046E-2</v>
      </c>
      <c r="P8" s="28">
        <f t="shared" si="6"/>
        <v>0.50819827863832723</v>
      </c>
      <c r="Q8" s="28">
        <f t="shared" si="7"/>
        <v>-0.41054666482565949</v>
      </c>
      <c r="R8" s="28">
        <f t="shared" si="8"/>
        <v>0.1132345087876189</v>
      </c>
      <c r="S8" s="28">
        <f t="shared" si="9"/>
        <v>1.3811589459128517</v>
      </c>
      <c r="T8" s="28">
        <f t="shared" si="10"/>
        <v>-2.0499650424916434</v>
      </c>
      <c r="U8" s="28">
        <f t="shared" si="11"/>
        <v>-0.78204060536641018</v>
      </c>
      <c r="V8" s="28">
        <f t="shared" si="12"/>
        <v>444.88408020220493</v>
      </c>
      <c r="W8" s="28">
        <f t="shared" si="13"/>
        <v>219.48000385319904</v>
      </c>
      <c r="X8" s="28">
        <f t="shared" si="14"/>
        <v>-3.0285044676861101</v>
      </c>
      <c r="Y8" s="28">
        <f t="shared" si="15"/>
        <v>94.642210665923301</v>
      </c>
      <c r="Z8" s="28">
        <f t="shared" si="16"/>
        <v>127.73336121539649</v>
      </c>
      <c r="AA8" s="28">
        <f t="shared" si="17"/>
        <v>1488.7966349600842</v>
      </c>
      <c r="AB8" s="32">
        <f t="shared" si="18"/>
        <v>1616.5299961754808</v>
      </c>
      <c r="AC8" s="22">
        <f>INDEX(Data_Cert!$E$4:$E$195,MATCH($A8,Data_Cert!$A$4:$A$195,0))</f>
        <v>1699.14</v>
      </c>
      <c r="AD8" s="22">
        <f t="shared" si="19"/>
        <v>-82.610003824519254</v>
      </c>
      <c r="AE8" s="23">
        <f t="shared" si="20"/>
        <v>-4.8618715246842081E-2</v>
      </c>
      <c r="AF8" s="36">
        <f>Data_Stock!D8</f>
        <v>1628.9</v>
      </c>
    </row>
    <row r="9" spans="1:32" x14ac:dyDescent="0.2">
      <c r="A9" s="35">
        <f>Data_Stock!A9</f>
        <v>45911</v>
      </c>
      <c r="B9" s="36">
        <f>Data_Stock!B9</f>
        <v>1861.89</v>
      </c>
      <c r="C9" s="37">
        <f>Data_Stock!C9</f>
        <v>0.38100000000000001</v>
      </c>
      <c r="D9" s="38">
        <f t="shared" si="0"/>
        <v>1.7671232876712328</v>
      </c>
      <c r="E9" s="28">
        <f>INDEX(Data_Svensson!$B$4:$B$202,MATCH($A9,Data_Svensson!$A$4:$A$202,1))</f>
        <v>1.204237</v>
      </c>
      <c r="F9" s="28">
        <f>INDEX(Data_Svensson!$C$4:$C$202,MATCH($A9,Data_Svensson!$A$4:$A$202,1))</f>
        <v>0.75690999999999997</v>
      </c>
      <c r="G9" s="28">
        <f>INDEX(Data_Svensson!$D$4:$D$202,MATCH($A9,Data_Svensson!$A$4:$A$202,1))</f>
        <v>-1.615143</v>
      </c>
      <c r="H9" s="28">
        <f>INDEX(Data_Svensson!$E$4:$E$202,MATCH($A9,Data_Svensson!$A$4:$A$202,1))</f>
        <v>7.3569170000000002</v>
      </c>
      <c r="I9" s="28">
        <f>INDEX(Data_Svensson!$F$4:$F$202,MATCH($A9,Data_Svensson!$A$4:$A$202,1))</f>
        <v>3.2682540000000002</v>
      </c>
      <c r="J9" s="28">
        <f>INDEX(Data_Svensson!$G$4:$G$202,MATCH($A9,Data_Svensson!$A$4:$A$202,1))</f>
        <v>12.889797</v>
      </c>
      <c r="K9" s="28">
        <f t="shared" si="1"/>
        <v>0.7724445865917714</v>
      </c>
      <c r="L9" s="28">
        <f t="shared" si="2"/>
        <v>0.19010025760201033</v>
      </c>
      <c r="M9" s="28">
        <f t="shared" si="3"/>
        <v>6.2593018092122588E-2</v>
      </c>
      <c r="N9" s="29">
        <f t="shared" si="4"/>
        <v>1.9423605705563382E-2</v>
      </c>
      <c r="O9" s="29">
        <f t="shared" si="5"/>
        <v>1.3423605705563382E-2</v>
      </c>
      <c r="P9" s="28">
        <f t="shared" si="6"/>
        <v>0.50647545208197786</v>
      </c>
      <c r="Q9" s="28">
        <f t="shared" si="7"/>
        <v>-0.40752608685829261</v>
      </c>
      <c r="R9" s="28">
        <f t="shared" si="8"/>
        <v>0.1587930431471278</v>
      </c>
      <c r="S9" s="28">
        <f t="shared" si="9"/>
        <v>1.431030451182884</v>
      </c>
      <c r="T9" s="28">
        <f t="shared" si="10"/>
        <v>-2.1031208732081907</v>
      </c>
      <c r="U9" s="28">
        <f t="shared" si="11"/>
        <v>-0.83088346517243483</v>
      </c>
      <c r="V9" s="28">
        <f t="shared" si="12"/>
        <v>424.09491620453184</v>
      </c>
      <c r="W9" s="28">
        <f t="shared" si="13"/>
        <v>202.81304464832095</v>
      </c>
      <c r="X9" s="28">
        <f t="shared" si="14"/>
        <v>-2.5957835720708413</v>
      </c>
      <c r="Y9" s="28">
        <f t="shared" si="15"/>
        <v>89.393193653860578</v>
      </c>
      <c r="Z9" s="28">
        <f t="shared" si="16"/>
        <v>129.29289433027947</v>
      </c>
      <c r="AA9" s="28">
        <f t="shared" si="17"/>
        <v>1508.4220379003918</v>
      </c>
      <c r="AB9" s="32">
        <f t="shared" si="18"/>
        <v>1637.7149322306714</v>
      </c>
      <c r="AC9" s="22">
        <f>INDEX(Data_Cert!$E$4:$E$195,MATCH($A9,Data_Cert!$A$4:$A$195,0))</f>
        <v>1721.63</v>
      </c>
      <c r="AD9" s="22">
        <f t="shared" si="19"/>
        <v>-83.915067769328743</v>
      </c>
      <c r="AE9" s="23">
        <f t="shared" si="20"/>
        <v>-4.8741638894146094E-2</v>
      </c>
      <c r="AF9" s="36">
        <f>Data_Stock!D9</f>
        <v>1636.5</v>
      </c>
    </row>
    <row r="10" spans="1:32" x14ac:dyDescent="0.2">
      <c r="A10" s="35">
        <f>Data_Stock!A10</f>
        <v>45912</v>
      </c>
      <c r="B10" s="36">
        <f>Data_Stock!B10</f>
        <v>1877.73</v>
      </c>
      <c r="C10" s="37">
        <f>Data_Stock!C10</f>
        <v>0.371</v>
      </c>
      <c r="D10" s="38">
        <f t="shared" si="0"/>
        <v>1.7643835616438357</v>
      </c>
      <c r="E10" s="28">
        <f>INDEX(Data_Svensson!$B$4:$B$202,MATCH($A10,Data_Svensson!$A$4:$A$202,1))</f>
        <v>1.1996880000000001</v>
      </c>
      <c r="F10" s="28">
        <f>INDEX(Data_Svensson!$C$4:$C$202,MATCH($A10,Data_Svensson!$A$4:$A$202,1))</f>
        <v>0.74495900000000004</v>
      </c>
      <c r="G10" s="28">
        <f>INDEX(Data_Svensson!$D$4:$D$202,MATCH($A10,Data_Svensson!$A$4:$A$202,1))</f>
        <v>-1.4620919999999999</v>
      </c>
      <c r="H10" s="28">
        <f>INDEX(Data_Svensson!$E$4:$E$202,MATCH($A10,Data_Svensson!$A$4:$A$202,1))</f>
        <v>7.3527040000000001</v>
      </c>
      <c r="I10" s="28">
        <f>INDEX(Data_Svensson!$F$4:$F$202,MATCH($A10,Data_Svensson!$A$4:$A$202,1))</f>
        <v>3.328068</v>
      </c>
      <c r="J10" s="28">
        <f>INDEX(Data_Svensson!$G$4:$G$202,MATCH($A10,Data_Svensson!$A$4:$A$202,1))</f>
        <v>12.832385</v>
      </c>
      <c r="K10" s="28">
        <f t="shared" si="1"/>
        <v>0.7761630591716675</v>
      </c>
      <c r="L10" s="28">
        <f t="shared" si="2"/>
        <v>0.18764784336408236</v>
      </c>
      <c r="M10" s="28">
        <f t="shared" si="3"/>
        <v>6.2759042280836064E-2</v>
      </c>
      <c r="N10" s="29">
        <f t="shared" si="4"/>
        <v>1.9649879070120609E-2</v>
      </c>
      <c r="O10" s="29">
        <f t="shared" si="5"/>
        <v>1.3649879070120609E-2</v>
      </c>
      <c r="P10" s="28">
        <f t="shared" si="6"/>
        <v>0.49279967310076334</v>
      </c>
      <c r="Q10" s="28">
        <f t="shared" si="7"/>
        <v>-0.40082984670177774</v>
      </c>
      <c r="R10" s="28">
        <f t="shared" si="8"/>
        <v>0.1672602592396307</v>
      </c>
      <c r="S10" s="28">
        <f t="shared" si="9"/>
        <v>1.474803773495901</v>
      </c>
      <c r="T10" s="28">
        <f t="shared" si="10"/>
        <v>-2.1918055763979742</v>
      </c>
      <c r="U10" s="28">
        <f t="shared" si="11"/>
        <v>-0.88426206214170455</v>
      </c>
      <c r="V10" s="28">
        <f t="shared" si="12"/>
        <v>406.87652935273843</v>
      </c>
      <c r="W10" s="28">
        <f t="shared" si="13"/>
        <v>184.68235310428446</v>
      </c>
      <c r="X10" s="28">
        <f t="shared" si="14"/>
        <v>-1.9659700241602032</v>
      </c>
      <c r="Y10" s="28">
        <f t="shared" si="15"/>
        <v>85.048728974203868</v>
      </c>
      <c r="Z10" s="28">
        <f t="shared" si="16"/>
        <v>135.17947725008989</v>
      </c>
      <c r="AA10" s="28">
        <f t="shared" si="17"/>
        <v>1524.9718554584497</v>
      </c>
      <c r="AB10" s="32">
        <f t="shared" si="18"/>
        <v>1660.1513327085395</v>
      </c>
      <c r="AC10" s="22">
        <f>INDEX(Data_Cert!$E$4:$E$195,MATCH($A10,Data_Cert!$A$4:$A$195,0))</f>
        <v>1713.91</v>
      </c>
      <c r="AD10" s="22">
        <f t="shared" si="19"/>
        <v>-53.758667291460597</v>
      </c>
      <c r="AE10" s="23">
        <f t="shared" si="20"/>
        <v>-3.1366096989608905E-2</v>
      </c>
      <c r="AF10" s="36">
        <f>Data_Stock!D10</f>
        <v>1666.15</v>
      </c>
    </row>
    <row r="11" spans="1:32" x14ac:dyDescent="0.2">
      <c r="A11" s="35">
        <f>Data_Stock!A11</f>
        <v>45915</v>
      </c>
      <c r="B11" s="36">
        <f>Data_Stock!B11</f>
        <v>1930.7</v>
      </c>
      <c r="C11" s="37">
        <f>Data_Stock!C11</f>
        <v>0.376</v>
      </c>
      <c r="D11" s="38">
        <f t="shared" si="0"/>
        <v>1.7561643835616438</v>
      </c>
      <c r="E11" s="28">
        <f>INDEX(Data_Svensson!$B$4:$B$202,MATCH($A11,Data_Svensson!$A$4:$A$202,1))</f>
        <v>1.1946969999999999</v>
      </c>
      <c r="F11" s="28">
        <f>INDEX(Data_Svensson!$C$4:$C$202,MATCH($A11,Data_Svensson!$A$4:$A$202,1))</f>
        <v>0.75098200000000004</v>
      </c>
      <c r="G11" s="28">
        <f>INDEX(Data_Svensson!$D$4:$D$202,MATCH($A11,Data_Svensson!$A$4:$A$202,1))</f>
        <v>-1.484931</v>
      </c>
      <c r="H11" s="28">
        <f>INDEX(Data_Svensson!$E$4:$E$202,MATCH($A11,Data_Svensson!$A$4:$A$202,1))</f>
        <v>7.3415800000000004</v>
      </c>
      <c r="I11" s="28">
        <f>INDEX(Data_Svensson!$F$4:$F$202,MATCH($A11,Data_Svensson!$A$4:$A$202,1))</f>
        <v>3.3225359999999999</v>
      </c>
      <c r="J11" s="28">
        <f>INDEX(Data_Svensson!$G$4:$G$202,MATCH($A11,Data_Svensson!$A$4:$A$202,1))</f>
        <v>12.848706</v>
      </c>
      <c r="K11" s="28">
        <f t="shared" si="1"/>
        <v>0.77672650327274628</v>
      </c>
      <c r="L11" s="28">
        <f t="shared" si="2"/>
        <v>0.18727417553753845</v>
      </c>
      <c r="M11" s="28">
        <f t="shared" si="3"/>
        <v>6.2420826793402662E-2</v>
      </c>
      <c r="N11" s="29">
        <f t="shared" si="4"/>
        <v>1.95818288769555E-2</v>
      </c>
      <c r="O11" s="29">
        <f t="shared" si="5"/>
        <v>1.35818288769555E-2</v>
      </c>
      <c r="P11" s="28">
        <f t="shared" si="6"/>
        <v>0.49827652552614898</v>
      </c>
      <c r="Q11" s="28">
        <f t="shared" si="7"/>
        <v>-0.40393115608762803</v>
      </c>
      <c r="R11" s="28">
        <f t="shared" si="8"/>
        <v>0.22623406323065232</v>
      </c>
      <c r="S11" s="28">
        <f t="shared" si="9"/>
        <v>1.5194055922528402</v>
      </c>
      <c r="T11" s="28">
        <f t="shared" si="10"/>
        <v>-2.2185628962369379</v>
      </c>
      <c r="U11" s="28">
        <f t="shared" si="11"/>
        <v>-0.92539136721474957</v>
      </c>
      <c r="V11" s="28">
        <f t="shared" si="12"/>
        <v>389.09469840654629</v>
      </c>
      <c r="W11" s="28">
        <f t="shared" si="13"/>
        <v>173.90832592589544</v>
      </c>
      <c r="X11" s="28">
        <f t="shared" si="14"/>
        <v>-1.8377312005702038</v>
      </c>
      <c r="Y11" s="28">
        <f t="shared" si="15"/>
        <v>80.294246142011502</v>
      </c>
      <c r="Z11" s="28">
        <f t="shared" si="16"/>
        <v>133.05439513806914</v>
      </c>
      <c r="AA11" s="28">
        <f t="shared" si="17"/>
        <v>1543.2966375489189</v>
      </c>
      <c r="AB11" s="32">
        <f t="shared" si="18"/>
        <v>1676.351032686988</v>
      </c>
      <c r="AC11" s="22">
        <f>INDEX(Data_Cert!$E$4:$E$195,MATCH($A11,Data_Cert!$A$4:$A$195,0))</f>
        <v>1735.5</v>
      </c>
      <c r="AD11" s="22">
        <f t="shared" si="19"/>
        <v>-59.148967313012008</v>
      </c>
      <c r="AE11" s="23">
        <f t="shared" si="20"/>
        <v>-3.4081801966587152E-2</v>
      </c>
      <c r="AF11" s="36">
        <f>Data_Stock!D11</f>
        <v>1688.12</v>
      </c>
    </row>
    <row r="12" spans="1:32" x14ac:dyDescent="0.2">
      <c r="A12" s="35">
        <f>Data_Stock!A12</f>
        <v>45916</v>
      </c>
      <c r="B12" s="36">
        <f>Data_Stock!B12</f>
        <v>1882.19</v>
      </c>
      <c r="C12" s="37">
        <f>Data_Stock!C12</f>
        <v>0.377</v>
      </c>
      <c r="D12" s="38">
        <f t="shared" si="0"/>
        <v>1.7534246575342465</v>
      </c>
      <c r="E12" s="28">
        <f>INDEX(Data_Svensson!$B$4:$B$202,MATCH($A12,Data_Svensson!$A$4:$A$202,1))</f>
        <v>1.190226</v>
      </c>
      <c r="F12" s="28">
        <f>INDEX(Data_Svensson!$C$4:$C$202,MATCH($A12,Data_Svensson!$A$4:$A$202,1))</f>
        <v>0.77280400000000005</v>
      </c>
      <c r="G12" s="28">
        <f>INDEX(Data_Svensson!$D$4:$D$202,MATCH($A12,Data_Svensson!$A$4:$A$202,1))</f>
        <v>-1.510362</v>
      </c>
      <c r="H12" s="28">
        <f>INDEX(Data_Svensson!$E$4:$E$202,MATCH($A12,Data_Svensson!$A$4:$A$202,1))</f>
        <v>7.3436719999999998</v>
      </c>
      <c r="I12" s="28">
        <f>INDEX(Data_Svensson!$F$4:$F$202,MATCH($A12,Data_Svensson!$A$4:$A$202,1))</f>
        <v>3.3114180000000002</v>
      </c>
      <c r="J12" s="28">
        <f>INDEX(Data_Svensson!$G$4:$G$202,MATCH($A12,Data_Svensson!$A$4:$A$202,1))</f>
        <v>12.845352</v>
      </c>
      <c r="K12" s="28">
        <f t="shared" si="1"/>
        <v>0.77639097653577482</v>
      </c>
      <c r="L12" s="28">
        <f t="shared" si="2"/>
        <v>0.1874967572451024</v>
      </c>
      <c r="M12" s="28">
        <f t="shared" si="3"/>
        <v>6.2347016010963485E-2</v>
      </c>
      <c r="N12" s="29">
        <f t="shared" si="4"/>
        <v>1.9648921107277898E-2</v>
      </c>
      <c r="O12" s="29">
        <f t="shared" si="5"/>
        <v>1.3648921107277898E-2</v>
      </c>
      <c r="P12" s="28">
        <f t="shared" si="6"/>
        <v>0.49921187200494832</v>
      </c>
      <c r="Q12" s="28">
        <f t="shared" si="7"/>
        <v>-0.40396807754027753</v>
      </c>
      <c r="R12" s="28">
        <f t="shared" si="8"/>
        <v>0.17593214075150904</v>
      </c>
      <c r="S12" s="28">
        <f t="shared" si="9"/>
        <v>1.4666807237181543</v>
      </c>
      <c r="T12" s="28">
        <f t="shared" si="10"/>
        <v>-2.1623368831131469</v>
      </c>
      <c r="U12" s="28">
        <f t="shared" si="11"/>
        <v>-0.87158830014650168</v>
      </c>
      <c r="V12" s="28">
        <f t="shared" si="12"/>
        <v>409.86981040982994</v>
      </c>
      <c r="W12" s="28">
        <f t="shared" si="13"/>
        <v>189.35374373530234</v>
      </c>
      <c r="X12" s="28">
        <f t="shared" si="14"/>
        <v>-2.1652589162862483</v>
      </c>
      <c r="Y12" s="28">
        <f t="shared" si="15"/>
        <v>85.799290650220371</v>
      </c>
      <c r="Z12" s="28">
        <f t="shared" si="16"/>
        <v>132.55151710802096</v>
      </c>
      <c r="AA12" s="28">
        <f t="shared" si="17"/>
        <v>1522.3978712882476</v>
      </c>
      <c r="AB12" s="32">
        <f t="shared" si="18"/>
        <v>1654.9493883962687</v>
      </c>
      <c r="AC12" s="22">
        <f>INDEX(Data_Cert!$E$4:$E$195,MATCH($A12,Data_Cert!$A$4:$A$195,0))</f>
        <v>1728.41</v>
      </c>
      <c r="AD12" s="22">
        <f t="shared" si="19"/>
        <v>-73.460611603731422</v>
      </c>
      <c r="AE12" s="23">
        <f t="shared" si="20"/>
        <v>-4.2501843661938668E-2</v>
      </c>
      <c r="AF12" s="36">
        <f>Data_Stock!D12</f>
        <v>1663.42</v>
      </c>
    </row>
    <row r="13" spans="1:32" x14ac:dyDescent="0.2">
      <c r="A13" s="35">
        <f>Data_Stock!A13</f>
        <v>45917</v>
      </c>
      <c r="B13" s="36">
        <f>Data_Stock!B13</f>
        <v>1869.81</v>
      </c>
      <c r="C13" s="37">
        <f>Data_Stock!C13</f>
        <v>0.36699999999999999</v>
      </c>
      <c r="D13" s="38">
        <f t="shared" si="0"/>
        <v>1.7506849315068493</v>
      </c>
      <c r="E13" s="28">
        <f>INDEX(Data_Svensson!$B$4:$B$202,MATCH($A13,Data_Svensson!$A$4:$A$202,1))</f>
        <v>1.203972</v>
      </c>
      <c r="F13" s="28">
        <f>INDEX(Data_Svensson!$C$4:$C$202,MATCH($A13,Data_Svensson!$A$4:$A$202,1))</f>
        <v>0.74758100000000005</v>
      </c>
      <c r="G13" s="28">
        <f>INDEX(Data_Svensson!$D$4:$D$202,MATCH($A13,Data_Svensson!$A$4:$A$202,1))</f>
        <v>-1.13154</v>
      </c>
      <c r="H13" s="28">
        <f>INDEX(Data_Svensson!$E$4:$E$202,MATCH($A13,Data_Svensson!$A$4:$A$202,1))</f>
        <v>6.9793070000000004</v>
      </c>
      <c r="I13" s="28">
        <f>INDEX(Data_Svensson!$F$4:$F$202,MATCH($A13,Data_Svensson!$A$4:$A$202,1))</f>
        <v>2.8687269999999998</v>
      </c>
      <c r="J13" s="28">
        <f>INDEX(Data_Svensson!$G$4:$G$202,MATCH($A13,Data_Svensson!$A$4:$A$202,1))</f>
        <v>13.349989000000001</v>
      </c>
      <c r="K13" s="28">
        <f t="shared" si="1"/>
        <v>0.74851582583182374</v>
      </c>
      <c r="L13" s="28">
        <f t="shared" si="2"/>
        <v>0.20530916213680472</v>
      </c>
      <c r="M13" s="28">
        <f t="shared" si="3"/>
        <v>6.0108728130478073E-2</v>
      </c>
      <c r="N13" s="29">
        <f t="shared" si="4"/>
        <v>1.9507499472690433E-2</v>
      </c>
      <c r="O13" s="29">
        <f t="shared" si="5"/>
        <v>1.3507499472690433E-2</v>
      </c>
      <c r="P13" s="28">
        <f t="shared" si="6"/>
        <v>0.48559036516360782</v>
      </c>
      <c r="Q13" s="28">
        <f t="shared" si="7"/>
        <v>-0.39971341777954816</v>
      </c>
      <c r="R13" s="28">
        <f t="shared" si="8"/>
        <v>0.1528778644535865</v>
      </c>
      <c r="S13" s="28">
        <f t="shared" si="9"/>
        <v>1.4798337981311684</v>
      </c>
      <c r="T13" s="28">
        <f t="shared" si="10"/>
        <v>-2.2238029704822644</v>
      </c>
      <c r="U13" s="28">
        <f t="shared" si="11"/>
        <v>-0.8968470368046817</v>
      </c>
      <c r="V13" s="28">
        <f t="shared" si="12"/>
        <v>405.59550762084689</v>
      </c>
      <c r="W13" s="28">
        <f t="shared" si="13"/>
        <v>180.83920759942575</v>
      </c>
      <c r="X13" s="28">
        <f t="shared" si="14"/>
        <v>-1.7732718382198716</v>
      </c>
      <c r="Y13" s="28">
        <f t="shared" si="15"/>
        <v>84.62392960293954</v>
      </c>
      <c r="Z13" s="28">
        <f t="shared" si="16"/>
        <v>138.35909858026173</v>
      </c>
      <c r="AA13" s="28">
        <f t="shared" si="17"/>
        <v>1527.2546809338478</v>
      </c>
      <c r="AB13" s="32">
        <f t="shared" si="18"/>
        <v>1665.6137795141094</v>
      </c>
      <c r="AC13" s="22">
        <f>INDEX(Data_Cert!$E$4:$E$195,MATCH($A13,Data_Cert!$A$4:$A$195,0))</f>
        <v>1699.94</v>
      </c>
      <c r="AD13" s="22">
        <f t="shared" si="19"/>
        <v>-34.326220485890644</v>
      </c>
      <c r="AE13" s="23">
        <f t="shared" si="20"/>
        <v>-2.0192607083715099E-2</v>
      </c>
      <c r="AF13" s="36">
        <f>Data_Stock!D13</f>
        <v>1669.48</v>
      </c>
    </row>
    <row r="14" spans="1:32" x14ac:dyDescent="0.2">
      <c r="A14" s="35">
        <f>Data_Stock!A14</f>
        <v>45918</v>
      </c>
      <c r="B14" s="36">
        <f>Data_Stock!B14</f>
        <v>1900.5</v>
      </c>
      <c r="C14" s="37">
        <f>Data_Stock!C14</f>
        <v>0.36099999999999999</v>
      </c>
      <c r="D14" s="38">
        <f t="shared" si="0"/>
        <v>1.747945205479452</v>
      </c>
      <c r="E14" s="28">
        <f>INDEX(Data_Svensson!$B$4:$B$202,MATCH($A14,Data_Svensson!$A$4:$A$202,1))</f>
        <v>1.2130350000000001</v>
      </c>
      <c r="F14" s="28">
        <f>INDEX(Data_Svensson!$C$4:$C$202,MATCH($A14,Data_Svensson!$A$4:$A$202,1))</f>
        <v>0.74627100000000002</v>
      </c>
      <c r="G14" s="28">
        <f>INDEX(Data_Svensson!$D$4:$D$202,MATCH($A14,Data_Svensson!$A$4:$A$202,1))</f>
        <v>-1.7783409999999999</v>
      </c>
      <c r="H14" s="28">
        <f>INDEX(Data_Svensson!$E$4:$E$202,MATCH($A14,Data_Svensson!$A$4:$A$202,1))</f>
        <v>7.4976729999999998</v>
      </c>
      <c r="I14" s="28">
        <f>INDEX(Data_Svensson!$F$4:$F$202,MATCH($A14,Data_Svensson!$A$4:$A$202,1))</f>
        <v>3.4564729999999999</v>
      </c>
      <c r="J14" s="28">
        <f>INDEX(Data_Svensson!$G$4:$G$202,MATCH($A14,Data_Svensson!$A$4:$A$202,1))</f>
        <v>12.195202</v>
      </c>
      <c r="K14" s="28">
        <f t="shared" si="1"/>
        <v>0.78488505535690023</v>
      </c>
      <c r="L14" s="28">
        <f t="shared" si="2"/>
        <v>0.18180297410342827</v>
      </c>
      <c r="M14" s="28">
        <f t="shared" si="3"/>
        <v>6.5171807854371044E-2</v>
      </c>
      <c r="N14" s="29">
        <f t="shared" si="4"/>
        <v>1.9641011764870906E-2</v>
      </c>
      <c r="O14" s="29">
        <f t="shared" si="5"/>
        <v>1.3641011764870906E-2</v>
      </c>
      <c r="P14" s="28">
        <f t="shared" si="6"/>
        <v>0.47727766250191062</v>
      </c>
      <c r="Q14" s="28">
        <f t="shared" si="7"/>
        <v>-0.39532760057956196</v>
      </c>
      <c r="R14" s="28">
        <f t="shared" si="8"/>
        <v>0.18167737644921261</v>
      </c>
      <c r="S14" s="28">
        <f t="shared" si="9"/>
        <v>1.5317447837792881</v>
      </c>
      <c r="T14" s="28">
        <f t="shared" si="10"/>
        <v>-2.3046189323597472</v>
      </c>
      <c r="U14" s="28">
        <f t="shared" si="11"/>
        <v>-0.95455152502967122</v>
      </c>
      <c r="V14" s="28">
        <f t="shared" si="12"/>
        <v>386.09700095884045</v>
      </c>
      <c r="W14" s="28">
        <f t="shared" si="13"/>
        <v>163.73311195073316</v>
      </c>
      <c r="X14" s="28">
        <f t="shared" si="14"/>
        <v>-1.3743204485260812</v>
      </c>
      <c r="Y14" s="28">
        <f t="shared" si="15"/>
        <v>79.165916579861943</v>
      </c>
      <c r="Z14" s="28">
        <f t="shared" si="16"/>
        <v>141.82365197971927</v>
      </c>
      <c r="AA14" s="28">
        <f t="shared" si="17"/>
        <v>1546.4054470087426</v>
      </c>
      <c r="AB14" s="32">
        <f t="shared" si="18"/>
        <v>1688.2290989884618</v>
      </c>
      <c r="AC14" s="22">
        <f>INDEX(Data_Cert!$E$4:$E$195,MATCH($A14,Data_Cert!$A$4:$A$195,0))</f>
        <v>1708.18</v>
      </c>
      <c r="AD14" s="22">
        <f t="shared" si="19"/>
        <v>-19.950901011538235</v>
      </c>
      <c r="AE14" s="23">
        <f t="shared" si="20"/>
        <v>-1.1679624519393878E-2</v>
      </c>
      <c r="AF14" s="36">
        <f>Data_Stock!D14</f>
        <v>1694.37</v>
      </c>
    </row>
    <row r="15" spans="1:32" x14ac:dyDescent="0.2">
      <c r="A15" s="35">
        <f>Data_Stock!A15</f>
        <v>45919</v>
      </c>
      <c r="B15" s="36">
        <f>Data_Stock!B15</f>
        <v>1908.92</v>
      </c>
      <c r="C15" s="37">
        <f>Data_Stock!C15</f>
        <v>0.35099999999999998</v>
      </c>
      <c r="D15" s="38">
        <f t="shared" si="0"/>
        <v>1.7452054794520548</v>
      </c>
      <c r="E15" s="28">
        <f>INDEX(Data_Svensson!$B$4:$B$202,MATCH($A15,Data_Svensson!$A$4:$A$202,1))</f>
        <v>1.2024429999999999</v>
      </c>
      <c r="F15" s="28">
        <f>INDEX(Data_Svensson!$C$4:$C$202,MATCH($A15,Data_Svensson!$A$4:$A$202,1))</f>
        <v>0.76788100000000004</v>
      </c>
      <c r="G15" s="28">
        <f>INDEX(Data_Svensson!$D$4:$D$202,MATCH($A15,Data_Svensson!$A$4:$A$202,1))</f>
        <v>-1.4546600000000001</v>
      </c>
      <c r="H15" s="28">
        <f>INDEX(Data_Svensson!$E$4:$E$202,MATCH($A15,Data_Svensson!$A$4:$A$202,1))</f>
        <v>7.4025850000000002</v>
      </c>
      <c r="I15" s="28">
        <f>INDEX(Data_Svensson!$F$4:$F$202,MATCH($A15,Data_Svensson!$A$4:$A$202,1))</f>
        <v>3.1455869999999999</v>
      </c>
      <c r="J15" s="28">
        <f>INDEX(Data_Svensson!$G$4:$G$202,MATCH($A15,Data_Svensson!$A$4:$A$202,1))</f>
        <v>12.699911999999999</v>
      </c>
      <c r="K15" s="28">
        <f t="shared" si="1"/>
        <v>0.76750330728864524</v>
      </c>
      <c r="L15" s="28">
        <f t="shared" si="2"/>
        <v>0.19332239205015966</v>
      </c>
      <c r="M15" s="28">
        <f t="shared" si="3"/>
        <v>6.2727540485294608E-2</v>
      </c>
      <c r="N15" s="29">
        <f t="shared" si="4"/>
        <v>1.9749218065677615E-2</v>
      </c>
      <c r="O15" s="29">
        <f t="shared" si="5"/>
        <v>1.3749218065677615E-2</v>
      </c>
      <c r="P15" s="28">
        <f t="shared" si="6"/>
        <v>0.46369285122155224</v>
      </c>
      <c r="Q15" s="28">
        <f t="shared" si="7"/>
        <v>-0.38840010985562118</v>
      </c>
      <c r="R15" s="28">
        <f t="shared" si="8"/>
        <v>0.18307635575540734</v>
      </c>
      <c r="S15" s="28">
        <f t="shared" si="9"/>
        <v>1.5726966932115907</v>
      </c>
      <c r="T15" s="28">
        <f t="shared" si="10"/>
        <v>-2.3951280369321037</v>
      </c>
      <c r="U15" s="28">
        <f t="shared" si="11"/>
        <v>-1.0055076994759202</v>
      </c>
      <c r="V15" s="28">
        <f t="shared" si="12"/>
        <v>372.31370559569996</v>
      </c>
      <c r="W15" s="28">
        <f t="shared" si="13"/>
        <v>149.0034185501853</v>
      </c>
      <c r="X15" s="28">
        <f t="shared" si="14"/>
        <v>-1.0178564753517483</v>
      </c>
      <c r="Y15" s="28">
        <f t="shared" si="15"/>
        <v>74.866094694063833</v>
      </c>
      <c r="Z15" s="28">
        <f t="shared" si="16"/>
        <v>147.42633587609907</v>
      </c>
      <c r="AA15" s="28">
        <f t="shared" si="17"/>
        <v>1559.9278117912932</v>
      </c>
      <c r="AB15" s="32">
        <f t="shared" si="18"/>
        <v>1707.3541476673922</v>
      </c>
      <c r="AC15" s="22">
        <f>INDEX(Data_Cert!$E$4:$E$195,MATCH($A15,Data_Cert!$A$4:$A$195,0))</f>
        <v>1711.35</v>
      </c>
      <c r="AD15" s="22">
        <f t="shared" si="19"/>
        <v>-3.9958523326076829</v>
      </c>
      <c r="AE15" s="23">
        <f t="shared" si="20"/>
        <v>-2.3349123981696806E-3</v>
      </c>
      <c r="AF15" s="36">
        <f>Data_Stock!D15</f>
        <v>1721</v>
      </c>
    </row>
    <row r="16" spans="1:32" x14ac:dyDescent="0.2">
      <c r="A16" s="35">
        <f>Data_Stock!A16</f>
        <v>45922</v>
      </c>
      <c r="B16" s="36">
        <f>Data_Stock!B16</f>
        <v>1920.8</v>
      </c>
      <c r="C16" s="37">
        <f>Data_Stock!C16</f>
        <v>0.34100000000000003</v>
      </c>
      <c r="D16" s="38">
        <f t="shared" si="0"/>
        <v>1.736986301369863</v>
      </c>
      <c r="E16" s="28">
        <f>INDEX(Data_Svensson!$B$4:$B$202,MATCH($A16,Data_Svensson!$A$4:$A$202,1))</f>
        <v>1.216005</v>
      </c>
      <c r="F16" s="28">
        <f>INDEX(Data_Svensson!$C$4:$C$202,MATCH($A16,Data_Svensson!$A$4:$A$202,1))</f>
        <v>0.75313200000000002</v>
      </c>
      <c r="G16" s="28">
        <f>INDEX(Data_Svensson!$D$4:$D$202,MATCH($A16,Data_Svensson!$A$4:$A$202,1))</f>
        <v>-1.6828540000000001</v>
      </c>
      <c r="H16" s="28">
        <f>INDEX(Data_Svensson!$E$4:$E$202,MATCH($A16,Data_Svensson!$A$4:$A$202,1))</f>
        <v>7.5806620000000002</v>
      </c>
      <c r="I16" s="28">
        <f>INDEX(Data_Svensson!$F$4:$F$202,MATCH($A16,Data_Svensson!$A$4:$A$202,1))</f>
        <v>3.3179159999999999</v>
      </c>
      <c r="J16" s="28">
        <f>INDEX(Data_Svensson!$G$4:$G$202,MATCH($A16,Data_Svensson!$A$4:$A$202,1))</f>
        <v>12.473034</v>
      </c>
      <c r="K16" s="28">
        <f t="shared" si="1"/>
        <v>0.77851657036420907</v>
      </c>
      <c r="L16" s="28">
        <f t="shared" si="2"/>
        <v>0.18608343405577876</v>
      </c>
      <c r="M16" s="28">
        <f t="shared" si="3"/>
        <v>6.3490679665207606E-2</v>
      </c>
      <c r="N16" s="29">
        <f t="shared" si="4"/>
        <v>1.9704808730292459E-2</v>
      </c>
      <c r="O16" s="29">
        <f t="shared" si="5"/>
        <v>1.3704808730292459E-2</v>
      </c>
      <c r="P16" s="28">
        <f t="shared" si="6"/>
        <v>0.44942018658443572</v>
      </c>
      <c r="Q16" s="28">
        <f t="shared" si="7"/>
        <v>-0.38214060138550188</v>
      </c>
      <c r="R16" s="28">
        <f t="shared" si="8"/>
        <v>0.18777283479079554</v>
      </c>
      <c r="S16" s="28">
        <f t="shared" si="9"/>
        <v>1.6215246679863287</v>
      </c>
      <c r="T16" s="28">
        <f t="shared" si="10"/>
        <v>-2.4999195287653122</v>
      </c>
      <c r="U16" s="28">
        <f t="shared" si="11"/>
        <v>-1.0661676955697785</v>
      </c>
      <c r="V16" s="28">
        <f t="shared" si="12"/>
        <v>356.93484273370768</v>
      </c>
      <c r="W16" s="28">
        <f t="shared" si="13"/>
        <v>133.33440185126062</v>
      </c>
      <c r="X16" s="28">
        <f t="shared" si="14"/>
        <v>-0.71505374911959052</v>
      </c>
      <c r="Y16" s="28">
        <f t="shared" si="15"/>
        <v>69.707181119184298</v>
      </c>
      <c r="Z16" s="28">
        <f t="shared" si="16"/>
        <v>153.17820601414317</v>
      </c>
      <c r="AA16" s="28">
        <f t="shared" si="17"/>
        <v>1575.7694260545434</v>
      </c>
      <c r="AB16" s="32">
        <f t="shared" si="18"/>
        <v>1728.9476320686865</v>
      </c>
      <c r="AC16" s="22">
        <f>INDEX(Data_Cert!$E$4:$E$195,MATCH($A16,Data_Cert!$A$4:$A$195,0))</f>
        <v>1717.27</v>
      </c>
      <c r="AD16" s="22">
        <f t="shared" si="19"/>
        <v>11.677632068686535</v>
      </c>
      <c r="AE16" s="23">
        <f t="shared" si="20"/>
        <v>6.800114174641457E-3</v>
      </c>
      <c r="AF16" s="36">
        <f>Data_Stock!D16</f>
        <v>1744.39</v>
      </c>
    </row>
    <row r="17" spans="1:32" x14ac:dyDescent="0.2">
      <c r="A17" s="35">
        <f>Data_Stock!A17</f>
        <v>45923</v>
      </c>
      <c r="B17" s="36">
        <f>Data_Stock!B17</f>
        <v>1893.08</v>
      </c>
      <c r="C17" s="37">
        <f>Data_Stock!C17</f>
        <v>0.33500000000000002</v>
      </c>
      <c r="D17" s="38">
        <f t="shared" si="0"/>
        <v>1.7342465753424658</v>
      </c>
      <c r="E17" s="28">
        <f>INDEX(Data_Svensson!$B$4:$B$202,MATCH($A17,Data_Svensson!$A$4:$A$202,1))</f>
        <v>1.2259640000000001</v>
      </c>
      <c r="F17" s="28">
        <f>INDEX(Data_Svensson!$C$4:$C$202,MATCH($A17,Data_Svensson!$A$4:$A$202,1))</f>
        <v>0.725379</v>
      </c>
      <c r="G17" s="28">
        <f>INDEX(Data_Svensson!$D$4:$D$202,MATCH($A17,Data_Svensson!$A$4:$A$202,1))</f>
        <v>-1.3124370000000001</v>
      </c>
      <c r="H17" s="28">
        <f>INDEX(Data_Svensson!$E$4:$E$202,MATCH($A17,Data_Svensson!$A$4:$A$202,1))</f>
        <v>7.3348890000000004</v>
      </c>
      <c r="I17" s="28">
        <f>INDEX(Data_Svensson!$F$4:$F$202,MATCH($A17,Data_Svensson!$A$4:$A$202,1))</f>
        <v>3.159605</v>
      </c>
      <c r="J17" s="28">
        <f>INDEX(Data_Svensson!$G$4:$G$202,MATCH($A17,Data_Svensson!$A$4:$A$202,1))</f>
        <v>13.051755</v>
      </c>
      <c r="K17" s="28">
        <f t="shared" si="1"/>
        <v>0.7695734712404384</v>
      </c>
      <c r="L17" s="28">
        <f t="shared" si="2"/>
        <v>0.19197758725277025</v>
      </c>
      <c r="M17" s="28">
        <f t="shared" si="3"/>
        <v>6.0835214489339151E-2</v>
      </c>
      <c r="N17" s="29">
        <f t="shared" si="4"/>
        <v>1.9784574918841481E-2</v>
      </c>
      <c r="O17" s="29">
        <f t="shared" si="5"/>
        <v>1.3784574918841481E-2</v>
      </c>
      <c r="P17" s="28">
        <f t="shared" si="6"/>
        <v>0.44116416662939467</v>
      </c>
      <c r="Q17" s="28">
        <f t="shared" si="7"/>
        <v>-0.37717019453026079</v>
      </c>
      <c r="R17" s="28">
        <f t="shared" si="8"/>
        <v>0.15023140942415034</v>
      </c>
      <c r="S17" s="28">
        <f t="shared" si="9"/>
        <v>1.610814714078205</v>
      </c>
      <c r="T17" s="28">
        <f t="shared" si="10"/>
        <v>-2.5218576345682489</v>
      </c>
      <c r="U17" s="28">
        <f t="shared" si="11"/>
        <v>-1.0612743299141938</v>
      </c>
      <c r="V17" s="28">
        <f t="shared" si="12"/>
        <v>362.56925277382982</v>
      </c>
      <c r="W17" s="28">
        <f t="shared" si="13"/>
        <v>133.53677317282464</v>
      </c>
      <c r="X17" s="28">
        <f t="shared" si="14"/>
        <v>-0.65593906796708445</v>
      </c>
      <c r="Y17" s="28">
        <f t="shared" si="15"/>
        <v>70.726217368685923</v>
      </c>
      <c r="Z17" s="28">
        <f t="shared" si="16"/>
        <v>157.65032316435216</v>
      </c>
      <c r="AA17" s="28">
        <f t="shared" si="17"/>
        <v>1569.9720022569709</v>
      </c>
      <c r="AB17" s="32">
        <f t="shared" si="18"/>
        <v>1727.622325421323</v>
      </c>
      <c r="AC17" s="22">
        <f>INDEX(Data_Cert!$E$4:$E$195,MATCH($A17,Data_Cert!$A$4:$A$195,0))</f>
        <v>1708.72</v>
      </c>
      <c r="AD17" s="22">
        <f t="shared" si="19"/>
        <v>18.902325421322985</v>
      </c>
      <c r="AE17" s="23">
        <f t="shared" si="20"/>
        <v>1.1062272005549758E-2</v>
      </c>
      <c r="AF17" s="36">
        <f>Data_Stock!D17</f>
        <v>1729.44</v>
      </c>
    </row>
    <row r="18" spans="1:32" x14ac:dyDescent="0.2">
      <c r="A18" s="35">
        <f>Data_Stock!A18</f>
        <v>45924</v>
      </c>
      <c r="B18" s="36">
        <f>Data_Stock!B18</f>
        <v>1958.92</v>
      </c>
      <c r="C18" s="37">
        <f>Data_Stock!C18</f>
        <v>0.35099999999999998</v>
      </c>
      <c r="D18" s="38">
        <f t="shared" si="0"/>
        <v>1.7315068493150685</v>
      </c>
      <c r="E18" s="28">
        <f>INDEX(Data_Svensson!$B$4:$B$202,MATCH($A18,Data_Svensson!$A$4:$A$202,1))</f>
        <v>1.2276359999999999</v>
      </c>
      <c r="F18" s="28">
        <f>INDEX(Data_Svensson!$C$4:$C$202,MATCH($A18,Data_Svensson!$A$4:$A$202,1))</f>
        <v>0.72546999999999995</v>
      </c>
      <c r="G18" s="28">
        <f>INDEX(Data_Svensson!$D$4:$D$202,MATCH($A18,Data_Svensson!$A$4:$A$202,1))</f>
        <v>-1.4722599999999999</v>
      </c>
      <c r="H18" s="28">
        <f>INDEX(Data_Svensson!$E$4:$E$202,MATCH($A18,Data_Svensson!$A$4:$A$202,1))</f>
        <v>7.4148040000000002</v>
      </c>
      <c r="I18" s="28">
        <f>INDEX(Data_Svensson!$F$4:$F$202,MATCH($A18,Data_Svensson!$A$4:$A$202,1))</f>
        <v>3.224402</v>
      </c>
      <c r="J18" s="28">
        <f>INDEX(Data_Svensson!$G$4:$G$202,MATCH($A18,Data_Svensson!$A$4:$A$202,1))</f>
        <v>12.742848</v>
      </c>
      <c r="K18" s="28">
        <f t="shared" si="1"/>
        <v>0.77374432635245205</v>
      </c>
      <c r="L18" s="28">
        <f t="shared" si="2"/>
        <v>0.18924574357584556</v>
      </c>
      <c r="M18" s="28">
        <f t="shared" si="3"/>
        <v>6.2088376222955155E-2</v>
      </c>
      <c r="N18" s="29">
        <f t="shared" si="4"/>
        <v>1.9707184983734118E-2</v>
      </c>
      <c r="O18" s="29">
        <f t="shared" si="5"/>
        <v>1.3707184983734117E-2</v>
      </c>
      <c r="P18" s="28">
        <f t="shared" si="6"/>
        <v>0.46186943538457459</v>
      </c>
      <c r="Q18" s="28">
        <f t="shared" si="7"/>
        <v>-0.38874128469952257</v>
      </c>
      <c r="R18" s="28">
        <f t="shared" si="8"/>
        <v>0.23738720158194834</v>
      </c>
      <c r="S18" s="28">
        <f t="shared" si="9"/>
        <v>1.632493625660413</v>
      </c>
      <c r="T18" s="28">
        <f t="shared" si="10"/>
        <v>-2.4629566143194142</v>
      </c>
      <c r="U18" s="28">
        <f t="shared" si="11"/>
        <v>-1.0678501902409492</v>
      </c>
      <c r="V18" s="28">
        <f t="shared" si="12"/>
        <v>350.66462303040669</v>
      </c>
      <c r="W18" s="28">
        <f t="shared" si="13"/>
        <v>134.20949726964011</v>
      </c>
      <c r="X18" s="28">
        <f t="shared" si="14"/>
        <v>-0.82287387376309251</v>
      </c>
      <c r="Y18" s="28">
        <f t="shared" si="15"/>
        <v>68.725650804977107</v>
      </c>
      <c r="Z18" s="28">
        <f t="shared" si="16"/>
        <v>146.90660108202638</v>
      </c>
      <c r="AA18" s="28">
        <f t="shared" si="17"/>
        <v>1582.240381156214</v>
      </c>
      <c r="AB18" s="32">
        <f t="shared" si="18"/>
        <v>1729.1469822382403</v>
      </c>
      <c r="AC18" s="22">
        <f>INDEX(Data_Cert!$E$4:$E$195,MATCH($A18,Data_Cert!$A$4:$A$195,0))</f>
        <v>1735.68</v>
      </c>
      <c r="AD18" s="22">
        <f t="shared" si="19"/>
        <v>-6.5330177617597656</v>
      </c>
      <c r="AE18" s="23">
        <f t="shared" si="20"/>
        <v>-3.7639528955566493E-3</v>
      </c>
      <c r="AF18" s="36">
        <f>Data_Stock!D18</f>
        <v>1742.77</v>
      </c>
    </row>
    <row r="19" spans="1:32" x14ac:dyDescent="0.2">
      <c r="A19" s="35">
        <f>Data_Stock!A19</f>
        <v>45925</v>
      </c>
      <c r="B19" s="36">
        <f>Data_Stock!B19</f>
        <v>1958.92</v>
      </c>
      <c r="C19" s="37">
        <f>Data_Stock!C19</f>
        <v>0.34</v>
      </c>
      <c r="D19" s="38">
        <f t="shared" si="0"/>
        <v>1.7287671232876711</v>
      </c>
      <c r="E19" s="28">
        <f>INDEX(Data_Svensson!$B$4:$B$202,MATCH($A19,Data_Svensson!$A$4:$A$202,1))</f>
        <v>1.2127680000000001</v>
      </c>
      <c r="F19" s="28">
        <f>INDEX(Data_Svensson!$C$4:$C$202,MATCH($A19,Data_Svensson!$A$4:$A$202,1))</f>
        <v>0.73718099999999998</v>
      </c>
      <c r="G19" s="28">
        <f>INDEX(Data_Svensson!$D$4:$D$202,MATCH($A19,Data_Svensson!$A$4:$A$202,1))</f>
        <v>-1.360473</v>
      </c>
      <c r="H19" s="28">
        <f>INDEX(Data_Svensson!$E$4:$E$202,MATCH($A19,Data_Svensson!$A$4:$A$202,1))</f>
        <v>7.400741</v>
      </c>
      <c r="I19" s="28">
        <f>INDEX(Data_Svensson!$F$4:$F$202,MATCH($A19,Data_Svensson!$A$4:$A$202,1))</f>
        <v>3.2677550000000002</v>
      </c>
      <c r="J19" s="28">
        <f>INDEX(Data_Svensson!$G$4:$G$202,MATCH($A19,Data_Svensson!$A$4:$A$202,1))</f>
        <v>12.696462</v>
      </c>
      <c r="K19" s="28">
        <f t="shared" si="1"/>
        <v>0.77655761617780827</v>
      </c>
      <c r="L19" s="28">
        <f t="shared" si="2"/>
        <v>0.18738623588364334</v>
      </c>
      <c r="M19" s="28">
        <f t="shared" si="3"/>
        <v>6.2205107075676502E-2</v>
      </c>
      <c r="N19" s="29">
        <f t="shared" si="4"/>
        <v>1.9906614919045943E-2</v>
      </c>
      <c r="O19" s="29">
        <f t="shared" si="5"/>
        <v>1.3906614919045943E-2</v>
      </c>
      <c r="P19" s="28">
        <f t="shared" si="6"/>
        <v>0.44704080289393588</v>
      </c>
      <c r="Q19" s="28">
        <f t="shared" si="7"/>
        <v>-0.37970056298403165</v>
      </c>
      <c r="R19" s="28">
        <f t="shared" si="8"/>
        <v>0.23087413527566719</v>
      </c>
      <c r="S19" s="28">
        <f t="shared" si="9"/>
        <v>1.6722571415230685</v>
      </c>
      <c r="T19" s="28">
        <f t="shared" si="10"/>
        <v>-2.5590418310539205</v>
      </c>
      <c r="U19" s="28">
        <f t="shared" si="11"/>
        <v>-1.1176588248065187</v>
      </c>
      <c r="V19" s="28">
        <f t="shared" si="12"/>
        <v>339.16290025112994</v>
      </c>
      <c r="W19" s="28">
        <f t="shared" si="13"/>
        <v>121.45646319241661</v>
      </c>
      <c r="X19" s="28">
        <f t="shared" si="14"/>
        <v>-0.58822225486469204</v>
      </c>
      <c r="Y19" s="28">
        <f t="shared" si="15"/>
        <v>64.596032282574527</v>
      </c>
      <c r="Z19" s="28">
        <f t="shared" si="16"/>
        <v>152.52218252127412</v>
      </c>
      <c r="AA19" s="28">
        <f t="shared" si="17"/>
        <v>1593.1801439752401</v>
      </c>
      <c r="AB19" s="32">
        <f t="shared" si="18"/>
        <v>1745.7023264965142</v>
      </c>
      <c r="AC19" s="22">
        <f>INDEX(Data_Cert!$E$4:$E$195,MATCH($A19,Data_Cert!$A$4:$A$195,0))</f>
        <v>1736.25</v>
      </c>
      <c r="AD19" s="22">
        <f t="shared" si="19"/>
        <v>9.4523264965141607</v>
      </c>
      <c r="AE19" s="23">
        <f t="shared" si="20"/>
        <v>5.4441045336294661E-3</v>
      </c>
      <c r="AF19" s="36">
        <f>Data_Stock!D19</f>
        <v>1748.73</v>
      </c>
    </row>
    <row r="20" spans="1:32" x14ac:dyDescent="0.2">
      <c r="A20" s="35">
        <f>Data_Stock!A20</f>
        <v>45926</v>
      </c>
      <c r="B20" s="36">
        <f>Data_Stock!B20</f>
        <v>1941.1</v>
      </c>
      <c r="C20" s="37">
        <f>Data_Stock!C20</f>
        <v>0.33200000000000002</v>
      </c>
      <c r="D20" s="38">
        <f t="shared" si="0"/>
        <v>1.726027397260274</v>
      </c>
      <c r="E20" s="28">
        <f>INDEX(Data_Svensson!$B$4:$B$202,MATCH($A20,Data_Svensson!$A$4:$A$202,1))</f>
        <v>1.21302</v>
      </c>
      <c r="F20" s="28">
        <f>INDEX(Data_Svensson!$C$4:$C$202,MATCH($A20,Data_Svensson!$A$4:$A$202,1))</f>
        <v>0.73677800000000004</v>
      </c>
      <c r="G20" s="28">
        <f>INDEX(Data_Svensson!$D$4:$D$202,MATCH($A20,Data_Svensson!$A$4:$A$202,1))</f>
        <v>-1.3968799999999999</v>
      </c>
      <c r="H20" s="28">
        <f>INDEX(Data_Svensson!$E$4:$E$202,MATCH($A20,Data_Svensson!$A$4:$A$202,1))</f>
        <v>7.3675740000000003</v>
      </c>
      <c r="I20" s="28">
        <f>INDEX(Data_Svensson!$F$4:$F$202,MATCH($A20,Data_Svensson!$A$4:$A$202,1))</f>
        <v>3.2675230000000002</v>
      </c>
      <c r="J20" s="28">
        <f>INDEX(Data_Svensson!$G$4:$G$202,MATCH($A20,Data_Svensson!$A$4:$A$202,1))</f>
        <v>12.69983</v>
      </c>
      <c r="K20" s="28">
        <f t="shared" si="1"/>
        <v>0.7768413718952728</v>
      </c>
      <c r="L20" s="28">
        <f t="shared" si="2"/>
        <v>0.18719792981896555</v>
      </c>
      <c r="M20" s="28">
        <f t="shared" si="3"/>
        <v>6.2100360716098812E-2</v>
      </c>
      <c r="N20" s="29">
        <f t="shared" si="4"/>
        <v>1.9814155910992896E-2</v>
      </c>
      <c r="O20" s="29">
        <f t="shared" si="5"/>
        <v>1.3814155910992896E-2</v>
      </c>
      <c r="P20" s="28">
        <f t="shared" si="6"/>
        <v>0.43617616147104649</v>
      </c>
      <c r="Q20" s="28">
        <f t="shared" si="7"/>
        <v>-0.3746719778723972</v>
      </c>
      <c r="R20" s="28">
        <f t="shared" si="8"/>
        <v>0.20422041251578804</v>
      </c>
      <c r="S20" s="28">
        <f t="shared" si="9"/>
        <v>1.6815065948173533</v>
      </c>
      <c r="T20" s="28">
        <f t="shared" si="10"/>
        <v>-2.6132864244151199</v>
      </c>
      <c r="U20" s="28">
        <f t="shared" si="11"/>
        <v>-1.1360002421135544</v>
      </c>
      <c r="V20" s="28">
        <f t="shared" si="12"/>
        <v>338.52332806605318</v>
      </c>
      <c r="W20" s="28">
        <f t="shared" si="13"/>
        <v>116.83956742114228</v>
      </c>
      <c r="X20" s="28">
        <f t="shared" si="14"/>
        <v>-0.4833993001081236</v>
      </c>
      <c r="Y20" s="28">
        <f t="shared" si="15"/>
        <v>63.506544032644712</v>
      </c>
      <c r="Z20" s="28">
        <f t="shared" si="16"/>
        <v>157.69381731215807</v>
      </c>
      <c r="AA20" s="28">
        <f t="shared" si="17"/>
        <v>1594.2335242899921</v>
      </c>
      <c r="AB20" s="32">
        <f t="shared" si="18"/>
        <v>1751.9273416021501</v>
      </c>
      <c r="AC20" s="22">
        <f>INDEX(Data_Cert!$E$4:$E$195,MATCH($A20,Data_Cert!$A$4:$A$195,0))</f>
        <v>1733.33</v>
      </c>
      <c r="AD20" s="22">
        <f t="shared" si="19"/>
        <v>18.597341602150209</v>
      </c>
      <c r="AE20" s="23">
        <f t="shared" si="20"/>
        <v>1.0729256172886992E-2</v>
      </c>
      <c r="AF20" s="36">
        <f>Data_Stock!D20</f>
        <v>1752.16</v>
      </c>
    </row>
    <row r="21" spans="1:32" x14ac:dyDescent="0.2">
      <c r="A21" s="35">
        <f>Data_Stock!A21</f>
        <v>45929</v>
      </c>
      <c r="B21" s="36">
        <f>Data_Stock!B21</f>
        <v>1968.82</v>
      </c>
      <c r="C21" s="37">
        <f>Data_Stock!C21</f>
        <v>0.32700000000000001</v>
      </c>
      <c r="D21" s="38">
        <f t="shared" si="0"/>
        <v>1.7178082191780821</v>
      </c>
      <c r="E21" s="28">
        <f>INDEX(Data_Svensson!$B$4:$B$202,MATCH($A21,Data_Svensson!$A$4:$A$202,1))</f>
        <v>1.2148559999999999</v>
      </c>
      <c r="F21" s="28">
        <f>INDEX(Data_Svensson!$C$4:$C$202,MATCH($A21,Data_Svensson!$A$4:$A$202,1))</f>
        <v>0.72928300000000001</v>
      </c>
      <c r="G21" s="28">
        <f>INDEX(Data_Svensson!$D$4:$D$202,MATCH($A21,Data_Svensson!$A$4:$A$202,1))</f>
        <v>-1.719724</v>
      </c>
      <c r="H21" s="28">
        <f>INDEX(Data_Svensson!$E$4:$E$202,MATCH($A21,Data_Svensson!$A$4:$A$202,1))</f>
        <v>7.4347110000000001</v>
      </c>
      <c r="I21" s="28">
        <f>INDEX(Data_Svensson!$F$4:$F$202,MATCH($A21,Data_Svensson!$A$4:$A$202,1))</f>
        <v>3.67841</v>
      </c>
      <c r="J21" s="28">
        <f>INDEX(Data_Svensson!$G$4:$G$202,MATCH($A21,Data_Svensson!$A$4:$A$202,1))</f>
        <v>12.20876</v>
      </c>
      <c r="K21" s="28">
        <f t="shared" si="1"/>
        <v>0.7989728958914436</v>
      </c>
      <c r="L21" s="28">
        <f t="shared" si="2"/>
        <v>0.1720912289382861</v>
      </c>
      <c r="M21" s="28">
        <f t="shared" si="3"/>
        <v>6.4087859276387049E-2</v>
      </c>
      <c r="N21" s="29">
        <f t="shared" si="4"/>
        <v>1.9780586461683413E-2</v>
      </c>
      <c r="O21" s="29">
        <f t="shared" si="5"/>
        <v>1.3780586461683413E-2</v>
      </c>
      <c r="P21" s="28">
        <f t="shared" si="6"/>
        <v>0.42858314837204359</v>
      </c>
      <c r="Q21" s="28">
        <f t="shared" si="7"/>
        <v>-0.3711239564413451</v>
      </c>
      <c r="R21" s="28">
        <f t="shared" si="8"/>
        <v>0.23286347248519856</v>
      </c>
      <c r="S21" s="28">
        <f t="shared" si="9"/>
        <v>1.7363220635149168</v>
      </c>
      <c r="T21" s="28">
        <f t="shared" si="10"/>
        <v>-2.7007293051763894</v>
      </c>
      <c r="U21" s="28">
        <f t="shared" si="11"/>
        <v>-1.197270714146671</v>
      </c>
      <c r="V21" s="28">
        <f t="shared" si="12"/>
        <v>321.66533433678455</v>
      </c>
      <c r="W21" s="28">
        <f t="shared" si="13"/>
        <v>104.19434816811341</v>
      </c>
      <c r="X21" s="28">
        <f t="shared" si="14"/>
        <v>-0.3567056804889468</v>
      </c>
      <c r="Y21" s="28">
        <f t="shared" si="15"/>
        <v>58.10119508126327</v>
      </c>
      <c r="Z21" s="28">
        <f t="shared" si="16"/>
        <v>159.01308540691895</v>
      </c>
      <c r="AA21" s="28">
        <f t="shared" si="17"/>
        <v>1611.5177803312961</v>
      </c>
      <c r="AB21" s="32">
        <f t="shared" si="18"/>
        <v>1770.530865738215</v>
      </c>
      <c r="AC21" s="22">
        <f>INDEX(Data_Cert!$E$4:$E$195,MATCH($A21,Data_Cert!$A$4:$A$195,0))</f>
        <v>1744.63</v>
      </c>
      <c r="AD21" s="22">
        <f t="shared" si="19"/>
        <v>25.900865738214861</v>
      </c>
      <c r="AE21" s="23">
        <f t="shared" si="20"/>
        <v>1.4846050875093778E-2</v>
      </c>
      <c r="AF21" s="36">
        <f>Data_Stock!D21</f>
        <v>1774.76</v>
      </c>
    </row>
    <row r="22" spans="1:32" x14ac:dyDescent="0.2">
      <c r="A22" s="35">
        <f>Data_Stock!A22</f>
        <v>45930</v>
      </c>
      <c r="B22" s="36">
        <f>Data_Stock!B22</f>
        <v>1964.86</v>
      </c>
      <c r="C22" s="37">
        <f>Data_Stock!C22</f>
        <v>0.317</v>
      </c>
      <c r="D22" s="38">
        <f t="shared" si="0"/>
        <v>1.715068493150685</v>
      </c>
      <c r="E22" s="28">
        <f>INDEX(Data_Svensson!$B$4:$B$202,MATCH($A22,Data_Svensson!$A$4:$A$202,1))</f>
        <v>1.209956</v>
      </c>
      <c r="F22" s="28">
        <f>INDEX(Data_Svensson!$C$4:$C$202,MATCH($A22,Data_Svensson!$A$4:$A$202,1))</f>
        <v>0.73815900000000001</v>
      </c>
      <c r="G22" s="28">
        <f>INDEX(Data_Svensson!$D$4:$D$202,MATCH($A22,Data_Svensson!$A$4:$A$202,1))</f>
        <v>-1.4413309999999999</v>
      </c>
      <c r="H22" s="28">
        <f>INDEX(Data_Svensson!$E$4:$E$202,MATCH($A22,Data_Svensson!$A$4:$A$202,1))</f>
        <v>7.2608879999999996</v>
      </c>
      <c r="I22" s="28">
        <f>INDEX(Data_Svensson!$F$4:$F$202,MATCH($A22,Data_Svensson!$A$4:$A$202,1))</f>
        <v>3.380951</v>
      </c>
      <c r="J22" s="28">
        <f>INDEX(Data_Svensson!$G$4:$G$202,MATCH($A22,Data_Svensson!$A$4:$A$202,1))</f>
        <v>12.732421</v>
      </c>
      <c r="K22" s="28">
        <f t="shared" si="1"/>
        <v>0.78432018877524023</v>
      </c>
      <c r="L22" s="28">
        <f t="shared" si="2"/>
        <v>0.1821854179105965</v>
      </c>
      <c r="M22" s="28">
        <f t="shared" si="3"/>
        <v>6.1597171062892642E-2</v>
      </c>
      <c r="N22" s="29">
        <f t="shared" si="4"/>
        <v>1.973569675848149E-2</v>
      </c>
      <c r="O22" s="29">
        <f t="shared" si="5"/>
        <v>1.373569675848149E-2</v>
      </c>
      <c r="P22" s="28">
        <f t="shared" si="6"/>
        <v>0.41514517678544594</v>
      </c>
      <c r="Q22" s="28">
        <f t="shared" si="7"/>
        <v>-0.36331143947614675</v>
      </c>
      <c r="R22" s="28">
        <f t="shared" si="8"/>
        <v>0.22161942422702907</v>
      </c>
      <c r="S22" s="28">
        <f t="shared" si="9"/>
        <v>1.7737439638396568</v>
      </c>
      <c r="T22" s="28">
        <f t="shared" si="10"/>
        <v>-2.7972321334203931</v>
      </c>
      <c r="U22" s="28">
        <f t="shared" si="11"/>
        <v>-1.2451075938077645</v>
      </c>
      <c r="V22" s="28">
        <f t="shared" si="12"/>
        <v>313.235947050807</v>
      </c>
      <c r="W22" s="28">
        <f t="shared" si="13"/>
        <v>94.470758924417382</v>
      </c>
      <c r="X22" s="28">
        <f t="shared" si="14"/>
        <v>-0.25012760238302212</v>
      </c>
      <c r="Y22" s="28">
        <f t="shared" si="15"/>
        <v>54.345067250206313</v>
      </c>
      <c r="Z22" s="28">
        <f t="shared" si="16"/>
        <v>164.16999327380026</v>
      </c>
      <c r="AA22" s="28">
        <f t="shared" si="17"/>
        <v>1620.2007836653581</v>
      </c>
      <c r="AB22" s="32">
        <f t="shared" si="18"/>
        <v>1784.3707769391583</v>
      </c>
      <c r="AC22" s="22">
        <f>INDEX(Data_Cert!$E$4:$E$195,MATCH($A22,Data_Cert!$A$4:$A$195,0))</f>
        <v>1739.88</v>
      </c>
      <c r="AD22" s="22">
        <f t="shared" si="19"/>
        <v>44.490776939158195</v>
      </c>
      <c r="AE22" s="23">
        <f t="shared" si="20"/>
        <v>2.5571175563348158E-2</v>
      </c>
      <c r="AF22" s="36">
        <f>Data_Stock!D22</f>
        <v>1792.79</v>
      </c>
    </row>
    <row r="23" spans="1:32" x14ac:dyDescent="0.2">
      <c r="A23" s="35">
        <f>Data_Stock!A23</f>
        <v>45931</v>
      </c>
      <c r="B23" s="36">
        <f>Data_Stock!B23</f>
        <v>1931.69</v>
      </c>
      <c r="C23" s="37">
        <f>Data_Stock!C23</f>
        <v>0.314</v>
      </c>
      <c r="D23" s="38">
        <f t="shared" si="0"/>
        <v>1.7123287671232876</v>
      </c>
      <c r="E23" s="28">
        <f>INDEX(Data_Svensson!$B$4:$B$202,MATCH($A23,Data_Svensson!$A$4:$A$202,1))</f>
        <v>1.2114050000000001</v>
      </c>
      <c r="F23" s="28">
        <f>INDEX(Data_Svensson!$C$4:$C$202,MATCH($A23,Data_Svensson!$A$4:$A$202,1))</f>
        <v>0.75011099999999997</v>
      </c>
      <c r="G23" s="28">
        <f>INDEX(Data_Svensson!$D$4:$D$202,MATCH($A23,Data_Svensson!$A$4:$A$202,1))</f>
        <v>-1.515598</v>
      </c>
      <c r="H23" s="28">
        <f>INDEX(Data_Svensson!$E$4:$E$202,MATCH($A23,Data_Svensson!$A$4:$A$202,1))</f>
        <v>7.283887</v>
      </c>
      <c r="I23" s="28">
        <f>INDEX(Data_Svensson!$F$4:$F$202,MATCH($A23,Data_Svensson!$A$4:$A$202,1))</f>
        <v>3.2669519999999999</v>
      </c>
      <c r="J23" s="28">
        <f>INDEX(Data_Svensson!$G$4:$G$202,MATCH($A23,Data_Svensson!$A$4:$A$202,1))</f>
        <v>12.731987</v>
      </c>
      <c r="K23" s="28">
        <f t="shared" si="1"/>
        <v>0.77829650883171708</v>
      </c>
      <c r="L23" s="28">
        <f t="shared" si="2"/>
        <v>0.18623011221008723</v>
      </c>
      <c r="M23" s="28">
        <f t="shared" si="3"/>
        <v>6.1509406675141154E-2</v>
      </c>
      <c r="N23" s="29">
        <f t="shared" si="4"/>
        <v>1.9609913545896585E-2</v>
      </c>
      <c r="O23" s="29">
        <f t="shared" si="5"/>
        <v>1.3609913545896584E-2</v>
      </c>
      <c r="P23" s="28">
        <f t="shared" si="6"/>
        <v>0.41088777923331771</v>
      </c>
      <c r="Q23" s="28">
        <f t="shared" si="7"/>
        <v>-0.36196282256991574</v>
      </c>
      <c r="R23" s="28">
        <f t="shared" si="8"/>
        <v>0.17758405239010461</v>
      </c>
      <c r="S23" s="28">
        <f t="shared" si="9"/>
        <v>1.7457908693288553</v>
      </c>
      <c r="T23" s="28">
        <f t="shared" si="10"/>
        <v>-2.7896743284625223</v>
      </c>
      <c r="U23" s="28">
        <f t="shared" si="11"/>
        <v>-1.2214675115237721</v>
      </c>
      <c r="V23" s="28">
        <f t="shared" si="12"/>
        <v>324.13372528042146</v>
      </c>
      <c r="W23" s="28">
        <f t="shared" si="13"/>
        <v>98.613446405734308</v>
      </c>
      <c r="X23" s="28">
        <f t="shared" si="14"/>
        <v>-0.25491021829812111</v>
      </c>
      <c r="Y23" s="28">
        <f t="shared" si="15"/>
        <v>56.805905307278394</v>
      </c>
      <c r="Z23" s="28">
        <f t="shared" si="16"/>
        <v>168.45946334911065</v>
      </c>
      <c r="AA23" s="28">
        <f t="shared" si="17"/>
        <v>1609.8240452141747</v>
      </c>
      <c r="AB23" s="32">
        <f t="shared" si="18"/>
        <v>1778.2835085632853</v>
      </c>
      <c r="AC23" s="22">
        <f>INDEX(Data_Cert!$E$4:$E$195,MATCH($A23,Data_Cert!$A$4:$A$195,0))</f>
        <v>1732.78</v>
      </c>
      <c r="AD23" s="22">
        <f t="shared" si="19"/>
        <v>45.503508563285322</v>
      </c>
      <c r="AE23" s="23">
        <f t="shared" si="20"/>
        <v>2.6260407301149206E-2</v>
      </c>
      <c r="AF23" s="36">
        <f>Data_Stock!D23</f>
        <v>1778.72</v>
      </c>
    </row>
    <row r="24" spans="1:32" x14ac:dyDescent="0.2">
      <c r="A24" s="35">
        <f>Data_Stock!A24</f>
        <v>45932</v>
      </c>
      <c r="B24" s="36">
        <f>Data_Stock!B24</f>
        <v>1966.35</v>
      </c>
      <c r="C24" s="37">
        <f>Data_Stock!C24</f>
        <v>0.312</v>
      </c>
      <c r="D24" s="38">
        <f t="shared" si="0"/>
        <v>1.7095890410958905</v>
      </c>
      <c r="E24" s="28">
        <f>INDEX(Data_Svensson!$B$4:$B$202,MATCH($A24,Data_Svensson!$A$4:$A$202,1))</f>
        <v>1.228572</v>
      </c>
      <c r="F24" s="28">
        <f>INDEX(Data_Svensson!$C$4:$C$202,MATCH($A24,Data_Svensson!$A$4:$A$202,1))</f>
        <v>0.72806400000000004</v>
      </c>
      <c r="G24" s="28">
        <f>INDEX(Data_Svensson!$D$4:$D$202,MATCH($A24,Data_Svensson!$A$4:$A$202,1))</f>
        <v>-1.484783</v>
      </c>
      <c r="H24" s="28">
        <f>INDEX(Data_Svensson!$E$4:$E$202,MATCH($A24,Data_Svensson!$A$4:$A$202,1))</f>
        <v>7.2755460000000003</v>
      </c>
      <c r="I24" s="28">
        <f>INDEX(Data_Svensson!$F$4:$F$202,MATCH($A24,Data_Svensson!$A$4:$A$202,1))</f>
        <v>3.3616470000000001</v>
      </c>
      <c r="J24" s="28">
        <f>INDEX(Data_Svensson!$G$4:$G$202,MATCH($A24,Data_Svensson!$A$4:$A$202,1))</f>
        <v>12.745995000000001</v>
      </c>
      <c r="K24" s="28">
        <f t="shared" si="1"/>
        <v>0.78385959587641918</v>
      </c>
      <c r="L24" s="28">
        <f t="shared" si="2"/>
        <v>0.18249686352176675</v>
      </c>
      <c r="M24" s="28">
        <f t="shared" si="3"/>
        <v>6.135816954290485E-2</v>
      </c>
      <c r="N24" s="29">
        <f t="shared" si="4"/>
        <v>1.9747178972869331E-2</v>
      </c>
      <c r="O24" s="29">
        <f t="shared" si="5"/>
        <v>1.3747178972869331E-2</v>
      </c>
      <c r="P24" s="28">
        <f t="shared" si="6"/>
        <v>0.4079439123414374</v>
      </c>
      <c r="Q24" s="28">
        <f t="shared" si="7"/>
        <v>-0.3587773363240741</v>
      </c>
      <c r="R24" s="28">
        <f t="shared" si="8"/>
        <v>0.2199885655382782</v>
      </c>
      <c r="S24" s="28">
        <f t="shared" si="9"/>
        <v>1.7995121149697622</v>
      </c>
      <c r="T24" s="28">
        <f t="shared" si="10"/>
        <v>-2.8558699001973364</v>
      </c>
      <c r="U24" s="28">
        <f t="shared" si="11"/>
        <v>-1.2763463507658526</v>
      </c>
      <c r="V24" s="28">
        <f t="shared" si="12"/>
        <v>307.24489303787414</v>
      </c>
      <c r="W24" s="28">
        <f t="shared" si="13"/>
        <v>88.601695500486287</v>
      </c>
      <c r="X24" s="28">
        <f t="shared" si="14"/>
        <v>-0.20106224378774784</v>
      </c>
      <c r="Y24" s="28">
        <f t="shared" si="15"/>
        <v>51.862050218386926</v>
      </c>
      <c r="Z24" s="28">
        <f t="shared" si="16"/>
        <v>166.58008507521316</v>
      </c>
      <c r="AA24" s="28">
        <f t="shared" si="17"/>
        <v>1626.3629755472225</v>
      </c>
      <c r="AB24" s="32">
        <f t="shared" si="18"/>
        <v>1792.9430606224357</v>
      </c>
      <c r="AC24" s="22">
        <f>INDEX(Data_Cert!$E$4:$E$195,MATCH($A24,Data_Cert!$A$4:$A$195,0))</f>
        <v>1741.51</v>
      </c>
      <c r="AD24" s="22">
        <f t="shared" si="19"/>
        <v>51.433060622435733</v>
      </c>
      <c r="AE24" s="23">
        <f t="shared" si="20"/>
        <v>2.9533600509004103E-2</v>
      </c>
      <c r="AF24" s="36">
        <f>Data_Stock!D24</f>
        <v>1795.39</v>
      </c>
    </row>
    <row r="25" spans="1:32" x14ac:dyDescent="0.2">
      <c r="A25" s="35">
        <f>Data_Stock!A25</f>
        <v>45933</v>
      </c>
      <c r="B25" s="36">
        <f>Data_Stock!B25</f>
        <v>1943.08</v>
      </c>
      <c r="C25" s="37">
        <f>Data_Stock!C25</f>
        <v>0.30599999999999999</v>
      </c>
      <c r="D25" s="38">
        <f t="shared" si="0"/>
        <v>1.7068493150684931</v>
      </c>
      <c r="E25" s="28">
        <f>INDEX(Data_Svensson!$B$4:$B$202,MATCH($A25,Data_Svensson!$A$4:$A$202,1))</f>
        <v>1.222421</v>
      </c>
      <c r="F25" s="28">
        <f>INDEX(Data_Svensson!$C$4:$C$202,MATCH($A25,Data_Svensson!$A$4:$A$202,1))</f>
        <v>0.72745499999999996</v>
      </c>
      <c r="G25" s="28">
        <f>INDEX(Data_Svensson!$D$4:$D$202,MATCH($A25,Data_Svensson!$A$4:$A$202,1))</f>
        <v>-1.5690839999999999</v>
      </c>
      <c r="H25" s="28">
        <f>INDEX(Data_Svensson!$E$4:$E$202,MATCH($A25,Data_Svensson!$A$4:$A$202,1))</f>
        <v>7.2990370000000002</v>
      </c>
      <c r="I25" s="28">
        <f>INDEX(Data_Svensson!$F$4:$F$202,MATCH($A25,Data_Svensson!$A$4:$A$202,1))</f>
        <v>3.5827149999999999</v>
      </c>
      <c r="J25" s="28">
        <f>INDEX(Data_Svensson!$G$4:$G$202,MATCH($A25,Data_Svensson!$A$4:$A$202,1))</f>
        <v>12.677358999999999</v>
      </c>
      <c r="K25" s="28">
        <f t="shared" si="1"/>
        <v>0.79551392895338835</v>
      </c>
      <c r="L25" s="28">
        <f t="shared" si="2"/>
        <v>0.1745065099322094</v>
      </c>
      <c r="M25" s="28">
        <f t="shared" si="3"/>
        <v>6.1570800070063103E-2</v>
      </c>
      <c r="N25" s="29">
        <f t="shared" si="4"/>
        <v>1.9767137603873094E-2</v>
      </c>
      <c r="O25" s="29">
        <f t="shared" si="5"/>
        <v>1.3767137603873094E-2</v>
      </c>
      <c r="P25" s="28">
        <f t="shared" si="6"/>
        <v>0.39977811654185558</v>
      </c>
      <c r="Q25" s="28">
        <f t="shared" si="7"/>
        <v>-0.35297174586832952</v>
      </c>
      <c r="R25" s="28">
        <f t="shared" si="8"/>
        <v>0.186445580608916</v>
      </c>
      <c r="S25" s="28">
        <f t="shared" si="9"/>
        <v>1.7982321935538772</v>
      </c>
      <c r="T25" s="28">
        <f t="shared" si="10"/>
        <v>-2.8926833329265893</v>
      </c>
      <c r="U25" s="28">
        <f t="shared" si="11"/>
        <v>-1.2808967199816284</v>
      </c>
      <c r="V25" s="28">
        <f t="shared" si="12"/>
        <v>310.74114403016983</v>
      </c>
      <c r="W25" s="28">
        <f t="shared" si="13"/>
        <v>87.229897232887936</v>
      </c>
      <c r="X25" s="28">
        <f t="shared" si="14"/>
        <v>-0.17356301846656064</v>
      </c>
      <c r="Y25" s="28">
        <f t="shared" si="15"/>
        <v>51.761361103813869</v>
      </c>
      <c r="Z25" s="28">
        <f t="shared" si="16"/>
        <v>171.57632267500148</v>
      </c>
      <c r="AA25" s="28">
        <f t="shared" si="17"/>
        <v>1622.9054657135841</v>
      </c>
      <c r="AB25" s="32">
        <f t="shared" si="18"/>
        <v>1794.4817883885855</v>
      </c>
      <c r="AC25" s="22">
        <f>INDEX(Data_Cert!$E$4:$E$195,MATCH($A25,Data_Cert!$A$4:$A$195,0))</f>
        <v>1738.5</v>
      </c>
      <c r="AD25" s="22">
        <f t="shared" si="19"/>
        <v>55.981788388585528</v>
      </c>
      <c r="AE25" s="23">
        <f t="shared" si="20"/>
        <v>3.2201201258893031E-2</v>
      </c>
      <c r="AF25" s="36">
        <f>Data_Stock!D25</f>
        <v>1796.62</v>
      </c>
    </row>
    <row r="26" spans="1:32" x14ac:dyDescent="0.2">
      <c r="A26" s="35">
        <f>Data_Stock!A26</f>
        <v>45936</v>
      </c>
      <c r="B26" s="36">
        <f>Data_Stock!B26</f>
        <v>1870.31</v>
      </c>
      <c r="C26" s="37">
        <f>Data_Stock!C26</f>
        <v>0.33200000000000002</v>
      </c>
      <c r="D26" s="38">
        <f t="shared" si="0"/>
        <v>1.6986301369863013</v>
      </c>
      <c r="E26" s="28">
        <f>INDEX(Data_Svensson!$B$4:$B$202,MATCH($A26,Data_Svensson!$A$4:$A$202,1))</f>
        <v>1.226707</v>
      </c>
      <c r="F26" s="28">
        <f>INDEX(Data_Svensson!$C$4:$C$202,MATCH($A26,Data_Svensson!$A$4:$A$202,1))</f>
        <v>0.72989999999999999</v>
      </c>
      <c r="G26" s="28">
        <f>INDEX(Data_Svensson!$D$4:$D$202,MATCH($A26,Data_Svensson!$A$4:$A$202,1))</f>
        <v>-1.4994320000000001</v>
      </c>
      <c r="H26" s="28">
        <f>INDEX(Data_Svensson!$E$4:$E$202,MATCH($A26,Data_Svensson!$A$4:$A$202,1))</f>
        <v>7.296862</v>
      </c>
      <c r="I26" s="28">
        <f>INDEX(Data_Svensson!$F$4:$F$202,MATCH($A26,Data_Svensson!$A$4:$A$202,1))</f>
        <v>3.2667730000000001</v>
      </c>
      <c r="J26" s="28">
        <f>INDEX(Data_Svensson!$G$4:$G$202,MATCH($A26,Data_Svensson!$A$4:$A$202,1))</f>
        <v>12.725614999999999</v>
      </c>
      <c r="K26" s="28">
        <f t="shared" si="1"/>
        <v>0.77977819047772878</v>
      </c>
      <c r="L26" s="28">
        <f t="shared" si="2"/>
        <v>0.18524093138752407</v>
      </c>
      <c r="M26" s="28">
        <f t="shared" si="3"/>
        <v>6.1088504774085561E-2</v>
      </c>
      <c r="N26" s="29">
        <f t="shared" si="4"/>
        <v>1.9638653101202795E-2</v>
      </c>
      <c r="O26" s="29">
        <f t="shared" si="5"/>
        <v>1.3638653101202795E-2</v>
      </c>
      <c r="P26" s="28">
        <f t="shared" si="6"/>
        <v>0.43270059881999018</v>
      </c>
      <c r="Q26" s="28">
        <f t="shared" si="7"/>
        <v>-0.37626421558641682</v>
      </c>
      <c r="R26" s="28">
        <f t="shared" si="8"/>
        <v>0.11495002179158512</v>
      </c>
      <c r="S26" s="28">
        <f t="shared" si="9"/>
        <v>1.6041021471820454</v>
      </c>
      <c r="T26" s="28">
        <f t="shared" si="10"/>
        <v>-2.5534725777300786</v>
      </c>
      <c r="U26" s="28">
        <f t="shared" si="11"/>
        <v>-1.0643204523396181</v>
      </c>
      <c r="V26" s="28">
        <f t="shared" si="12"/>
        <v>367.37795617376014</v>
      </c>
      <c r="W26" s="28">
        <f t="shared" si="13"/>
        <v>132.90343224690514</v>
      </c>
      <c r="X26" s="28">
        <f t="shared" si="14"/>
        <v>-0.58581956629534115</v>
      </c>
      <c r="Y26" s="28">
        <f t="shared" si="15"/>
        <v>71.327383412901213</v>
      </c>
      <c r="Z26" s="28">
        <f t="shared" si="16"/>
        <v>162.56132094765846</v>
      </c>
      <c r="AA26" s="28">
        <f t="shared" si="17"/>
        <v>1567.0049663878692</v>
      </c>
      <c r="AB26" s="32">
        <f t="shared" si="18"/>
        <v>1729.5662873355277</v>
      </c>
      <c r="AC26" s="22">
        <f>INDEX(Data_Cert!$E$4:$E$195,MATCH($A26,Data_Cert!$A$4:$A$195,0))</f>
        <v>1716.39</v>
      </c>
      <c r="AD26" s="22">
        <f t="shared" si="19"/>
        <v>13.176287335527604</v>
      </c>
      <c r="AE26" s="23">
        <f t="shared" si="20"/>
        <v>7.6767444086295097E-3</v>
      </c>
      <c r="AF26" s="36">
        <f>Data_Stock!D26</f>
        <v>1731.96</v>
      </c>
    </row>
    <row r="27" spans="1:32" x14ac:dyDescent="0.2">
      <c r="A27" s="35">
        <f>Data_Stock!A27</f>
        <v>45937</v>
      </c>
      <c r="B27" s="36">
        <f>Data_Stock!B27</f>
        <v>1865.85</v>
      </c>
      <c r="C27" s="37">
        <f>Data_Stock!C27</f>
        <v>0.32200000000000001</v>
      </c>
      <c r="D27" s="38">
        <f t="shared" si="0"/>
        <v>1.6958904109589041</v>
      </c>
      <c r="E27" s="28">
        <f>INDEX(Data_Svensson!$B$4:$B$202,MATCH($A27,Data_Svensson!$A$4:$A$202,1))</f>
        <v>1.2041059999999999</v>
      </c>
      <c r="F27" s="28">
        <f>INDEX(Data_Svensson!$C$4:$C$202,MATCH($A27,Data_Svensson!$A$4:$A$202,1))</f>
        <v>0.72980800000000001</v>
      </c>
      <c r="G27" s="28">
        <f>INDEX(Data_Svensson!$D$4:$D$202,MATCH($A27,Data_Svensson!$A$4:$A$202,1))</f>
        <v>-1.46594</v>
      </c>
      <c r="H27" s="28">
        <f>INDEX(Data_Svensson!$E$4:$E$202,MATCH($A27,Data_Svensson!$A$4:$A$202,1))</f>
        <v>7.438453</v>
      </c>
      <c r="I27" s="28">
        <f>INDEX(Data_Svensson!$F$4:$F$202,MATCH($A27,Data_Svensson!$A$4:$A$202,1))</f>
        <v>3.3959709999999999</v>
      </c>
      <c r="J27" s="28">
        <f>INDEX(Data_Svensson!$G$4:$G$202,MATCH($A27,Data_Svensson!$A$4:$A$202,1))</f>
        <v>12.787939</v>
      </c>
      <c r="K27" s="28">
        <f t="shared" si="1"/>
        <v>0.78716132397462879</v>
      </c>
      <c r="L27" s="28">
        <f t="shared" si="2"/>
        <v>0.18025635959368691</v>
      </c>
      <c r="M27" s="28">
        <f t="shared" si="3"/>
        <v>6.0727340092864623E-2</v>
      </c>
      <c r="N27" s="29">
        <f t="shared" si="4"/>
        <v>1.9660550888402958E-2</v>
      </c>
      <c r="O27" s="29">
        <f t="shared" si="5"/>
        <v>1.3660550888402958E-2</v>
      </c>
      <c r="P27" s="28">
        <f t="shared" si="6"/>
        <v>0.41932887018408715</v>
      </c>
      <c r="Q27" s="28">
        <f t="shared" si="7"/>
        <v>-0.36824822645342625</v>
      </c>
      <c r="R27" s="28">
        <f t="shared" si="8"/>
        <v>9.9336543912906861E-2</v>
      </c>
      <c r="S27" s="28">
        <f t="shared" si="9"/>
        <v>1.6359753546574134</v>
      </c>
      <c r="T27" s="28">
        <f t="shared" si="10"/>
        <v>-2.6427906505257641</v>
      </c>
      <c r="U27" s="28">
        <f t="shared" si="11"/>
        <v>-1.1061518397812575</v>
      </c>
      <c r="V27" s="28">
        <f t="shared" si="12"/>
        <v>359.59540265300552</v>
      </c>
      <c r="W27" s="28">
        <f t="shared" si="13"/>
        <v>122.35019780393826</v>
      </c>
      <c r="X27" s="28">
        <f t="shared" si="14"/>
        <v>-0.42610911298824439</v>
      </c>
      <c r="Y27" s="28">
        <f t="shared" si="15"/>
        <v>67.80733133917532</v>
      </c>
      <c r="Z27" s="28">
        <f t="shared" si="16"/>
        <v>169.01176439690369</v>
      </c>
      <c r="AA27" s="28">
        <f t="shared" si="17"/>
        <v>1574.8197630168308</v>
      </c>
      <c r="AB27" s="32">
        <f t="shared" si="18"/>
        <v>1743.8315274137344</v>
      </c>
      <c r="AC27" s="22">
        <f>INDEX(Data_Cert!$E$4:$E$195,MATCH($A27,Data_Cert!$A$4:$A$195,0))</f>
        <v>1698.79</v>
      </c>
      <c r="AD27" s="22">
        <f t="shared" si="19"/>
        <v>45.041527413734457</v>
      </c>
      <c r="AE27" s="23">
        <f t="shared" si="20"/>
        <v>2.6513887775260307E-2</v>
      </c>
      <c r="AF27" s="36">
        <f>Data_Stock!D27</f>
        <v>1752.76</v>
      </c>
    </row>
    <row r="28" spans="1:32" x14ac:dyDescent="0.2">
      <c r="A28" s="35">
        <f>Data_Stock!A28</f>
        <v>45938</v>
      </c>
      <c r="B28" s="36">
        <f>Data_Stock!B28</f>
        <v>1914.36</v>
      </c>
      <c r="C28" s="37">
        <f>Data_Stock!C28</f>
        <v>0.32800000000000001</v>
      </c>
      <c r="D28" s="38">
        <f t="shared" si="0"/>
        <v>1.6931506849315068</v>
      </c>
      <c r="E28" s="28">
        <f>INDEX(Data_Svensson!$B$4:$B$202,MATCH($A28,Data_Svensson!$A$4:$A$202,1))</f>
        <v>1.206712</v>
      </c>
      <c r="F28" s="28">
        <f>INDEX(Data_Svensson!$C$4:$C$202,MATCH($A28,Data_Svensson!$A$4:$A$202,1))</f>
        <v>0.74016499999999996</v>
      </c>
      <c r="G28" s="28">
        <f>INDEX(Data_Svensson!$D$4:$D$202,MATCH($A28,Data_Svensson!$A$4:$A$202,1))</f>
        <v>-1.6315789999999999</v>
      </c>
      <c r="H28" s="28">
        <f>INDEX(Data_Svensson!$E$4:$E$202,MATCH($A28,Data_Svensson!$A$4:$A$202,1))</f>
        <v>7.3451250000000003</v>
      </c>
      <c r="I28" s="28">
        <f>INDEX(Data_Svensson!$F$4:$F$202,MATCH($A28,Data_Svensson!$A$4:$A$202,1))</f>
        <v>3.3869229999999999</v>
      </c>
      <c r="J28" s="28">
        <f>INDEX(Data_Svensson!$G$4:$G$202,MATCH($A28,Data_Svensson!$A$4:$A$202,1))</f>
        <v>12.580206</v>
      </c>
      <c r="K28" s="28">
        <f t="shared" si="1"/>
        <v>0.78697179332806733</v>
      </c>
      <c r="L28" s="28">
        <f t="shared" si="2"/>
        <v>0.18038547025405394</v>
      </c>
      <c r="M28" s="28">
        <f t="shared" si="3"/>
        <v>6.1550321806363106E-2</v>
      </c>
      <c r="N28" s="29">
        <f t="shared" si="4"/>
        <v>1.9469826396949927E-2</v>
      </c>
      <c r="O28" s="29">
        <f t="shared" si="5"/>
        <v>1.3469826396949927E-2</v>
      </c>
      <c r="P28" s="28">
        <f t="shared" si="6"/>
        <v>0.42679728594225058</v>
      </c>
      <c r="Q28" s="28">
        <f t="shared" si="7"/>
        <v>-0.37479712227701212</v>
      </c>
      <c r="R28" s="28">
        <f t="shared" si="8"/>
        <v>0.16429483575031884</v>
      </c>
      <c r="S28" s="28">
        <f t="shared" si="9"/>
        <v>1.6740443998037802</v>
      </c>
      <c r="T28" s="28">
        <f t="shared" si="10"/>
        <v>-2.6501241811063294</v>
      </c>
      <c r="U28" s="28">
        <f t="shared" si="11"/>
        <v>-1.1403746170528684</v>
      </c>
      <c r="V28" s="28">
        <f t="shared" si="12"/>
        <v>344.06829605779467</v>
      </c>
      <c r="W28" s="28">
        <f t="shared" si="13"/>
        <v>116.24125590164378</v>
      </c>
      <c r="X28" s="28">
        <f t="shared" si="14"/>
        <v>-0.42329669063689268</v>
      </c>
      <c r="Y28" s="28">
        <f t="shared" si="15"/>
        <v>64.062033685474404</v>
      </c>
      <c r="Z28" s="28">
        <f t="shared" si="16"/>
        <v>163.34170978003957</v>
      </c>
      <c r="AA28" s="28">
        <f t="shared" si="17"/>
        <v>1591.0758748986059</v>
      </c>
      <c r="AB28" s="32">
        <f t="shared" si="18"/>
        <v>1754.4175846786454</v>
      </c>
      <c r="AC28" s="22">
        <f>INDEX(Data_Cert!$E$4:$E$195,MATCH($A28,Data_Cert!$A$4:$A$195,0))</f>
        <v>1722.53</v>
      </c>
      <c r="AD28" s="22">
        <f t="shared" si="19"/>
        <v>31.887584678645453</v>
      </c>
      <c r="AE28" s="23">
        <f t="shared" si="20"/>
        <v>1.8512063464000892E-2</v>
      </c>
      <c r="AF28" s="36">
        <f>Data_Stock!D28</f>
        <v>1755.12</v>
      </c>
    </row>
    <row r="29" spans="1:32" x14ac:dyDescent="0.2">
      <c r="A29" s="35">
        <f>Data_Stock!A29</f>
        <v>45939</v>
      </c>
      <c r="B29" s="36">
        <f>Data_Stock!B29</f>
        <v>1885.16</v>
      </c>
      <c r="C29" s="37">
        <f>Data_Stock!C29</f>
        <v>0.32300000000000001</v>
      </c>
      <c r="D29" s="38">
        <f t="shared" si="0"/>
        <v>1.6904109589041096</v>
      </c>
      <c r="E29" s="28">
        <f>INDEX(Data_Svensson!$B$4:$B$202,MATCH($A29,Data_Svensson!$A$4:$A$202,1))</f>
        <v>1.196917</v>
      </c>
      <c r="F29" s="28">
        <f>INDEX(Data_Svensson!$C$4:$C$202,MATCH($A29,Data_Svensson!$A$4:$A$202,1))</f>
        <v>0.73244799999999999</v>
      </c>
      <c r="G29" s="28">
        <f>INDEX(Data_Svensson!$D$4:$D$202,MATCH($A29,Data_Svensson!$A$4:$A$202,1))</f>
        <v>-1.414148</v>
      </c>
      <c r="H29" s="28">
        <f>INDEX(Data_Svensson!$E$4:$E$202,MATCH($A29,Data_Svensson!$A$4:$A$202,1))</f>
        <v>7.3033149999999996</v>
      </c>
      <c r="I29" s="28">
        <f>INDEX(Data_Svensson!$F$4:$F$202,MATCH($A29,Data_Svensson!$A$4:$A$202,1))</f>
        <v>3.3277290000000002</v>
      </c>
      <c r="J29" s="28">
        <f>INDEX(Data_Svensson!$G$4:$G$202,MATCH($A29,Data_Svensson!$A$4:$A$202,1))</f>
        <v>12.847227999999999</v>
      </c>
      <c r="K29" s="28">
        <f t="shared" si="1"/>
        <v>0.78406763535988799</v>
      </c>
      <c r="L29" s="28">
        <f t="shared" si="2"/>
        <v>0.18235623498274967</v>
      </c>
      <c r="M29" s="28">
        <f t="shared" si="3"/>
        <v>6.0293048502624291E-2</v>
      </c>
      <c r="N29" s="29">
        <f t="shared" si="4"/>
        <v>1.9536661919206375E-2</v>
      </c>
      <c r="O29" s="29">
        <f t="shared" si="5"/>
        <v>1.3536661919206374E-2</v>
      </c>
      <c r="P29" s="28">
        <f t="shared" si="6"/>
        <v>0.41995105063746047</v>
      </c>
      <c r="Q29" s="28">
        <f t="shared" si="7"/>
        <v>-0.37025024758977487</v>
      </c>
      <c r="R29" s="28">
        <f t="shared" si="8"/>
        <v>0.12365127177706375</v>
      </c>
      <c r="S29" s="28">
        <f t="shared" si="9"/>
        <v>1.6580134680673648</v>
      </c>
      <c r="T29" s="28">
        <f t="shared" si="10"/>
        <v>-2.6634475240309565</v>
      </c>
      <c r="U29" s="28">
        <f t="shared" si="11"/>
        <v>-1.1290853277406554</v>
      </c>
      <c r="V29" s="28">
        <f t="shared" si="12"/>
        <v>351.69782831552038</v>
      </c>
      <c r="W29" s="28">
        <f t="shared" si="13"/>
        <v>117.8847005272759</v>
      </c>
      <c r="X29" s="28">
        <f t="shared" si="14"/>
        <v>-0.39921548165597853</v>
      </c>
      <c r="Y29" s="28">
        <f t="shared" si="15"/>
        <v>65.55123414795348</v>
      </c>
      <c r="Z29" s="28">
        <f t="shared" si="16"/>
        <v>167.86267815863505</v>
      </c>
      <c r="AA29" s="28">
        <f t="shared" si="17"/>
        <v>1583.3309389039318</v>
      </c>
      <c r="AB29" s="32">
        <f t="shared" si="18"/>
        <v>1751.1936170625668</v>
      </c>
      <c r="AC29" s="22">
        <f>INDEX(Data_Cert!$E$4:$E$195,MATCH($A29,Data_Cert!$A$4:$A$195,0))</f>
        <v>1693.33</v>
      </c>
      <c r="AD29" s="22">
        <f t="shared" si="19"/>
        <v>57.863617062566846</v>
      </c>
      <c r="AE29" s="23">
        <f t="shared" si="20"/>
        <v>3.4171494665875435E-2</v>
      </c>
      <c r="AF29" s="36">
        <f>Data_Stock!D29</f>
        <v>1754.68</v>
      </c>
    </row>
    <row r="30" spans="1:32" x14ac:dyDescent="0.2">
      <c r="A30" s="35">
        <f>Data_Stock!A30</f>
        <v>45940</v>
      </c>
      <c r="B30" s="36">
        <f>Data_Stock!B30</f>
        <v>1863.37</v>
      </c>
      <c r="C30" s="37">
        <f>Data_Stock!C30</f>
        <v>0.317</v>
      </c>
      <c r="D30" s="38">
        <f t="shared" si="0"/>
        <v>1.6876712328767123</v>
      </c>
      <c r="E30" s="28">
        <f>INDEX(Data_Svensson!$B$4:$B$202,MATCH($A30,Data_Svensson!$A$4:$A$202,1))</f>
        <v>1.187632</v>
      </c>
      <c r="F30" s="28">
        <f>INDEX(Data_Svensson!$C$4:$C$202,MATCH($A30,Data_Svensson!$A$4:$A$202,1))</f>
        <v>0.74616199999999999</v>
      </c>
      <c r="G30" s="28">
        <f>INDEX(Data_Svensson!$D$4:$D$202,MATCH($A30,Data_Svensson!$A$4:$A$202,1))</f>
        <v>-1.469681</v>
      </c>
      <c r="H30" s="28">
        <f>INDEX(Data_Svensson!$E$4:$E$202,MATCH($A30,Data_Svensson!$A$4:$A$202,1))</f>
        <v>7.2578050000000003</v>
      </c>
      <c r="I30" s="28">
        <f>INDEX(Data_Svensson!$F$4:$F$202,MATCH($A30,Data_Svensson!$A$4:$A$202,1))</f>
        <v>3.3257189999999999</v>
      </c>
      <c r="J30" s="28">
        <f>INDEX(Data_Svensson!$G$4:$G$202,MATCH($A30,Data_Svensson!$A$4:$A$202,1))</f>
        <v>12.853225</v>
      </c>
      <c r="K30" s="28">
        <f t="shared" si="1"/>
        <v>0.78425318503862018</v>
      </c>
      <c r="L30" s="28">
        <f t="shared" si="2"/>
        <v>0.18223074708809472</v>
      </c>
      <c r="M30" s="28">
        <f t="shared" si="3"/>
        <v>6.0178134905337854E-2</v>
      </c>
      <c r="N30" s="29">
        <f t="shared" si="4"/>
        <v>1.9417520268502443E-2</v>
      </c>
      <c r="O30" s="29">
        <f t="shared" si="5"/>
        <v>1.3417520268502443E-2</v>
      </c>
      <c r="P30" s="28">
        <f t="shared" si="6"/>
        <v>0.4118159716676224</v>
      </c>
      <c r="Q30" s="28">
        <f t="shared" si="7"/>
        <v>-0.3664777212580238</v>
      </c>
      <c r="R30" s="28">
        <f t="shared" si="8"/>
        <v>8.9069046611276348E-2</v>
      </c>
      <c r="S30" s="28">
        <f t="shared" si="9"/>
        <v>1.6537412806220915</v>
      </c>
      <c r="T30" s="28">
        <f t="shared" si="10"/>
        <v>-2.6966243290464802</v>
      </c>
      <c r="U30" s="28">
        <f t="shared" si="11"/>
        <v>-1.1319520950356647</v>
      </c>
      <c r="V30" s="28">
        <f t="shared" si="12"/>
        <v>355.87356044980299</v>
      </c>
      <c r="W30" s="28">
        <f t="shared" si="13"/>
        <v>116.80506979548259</v>
      </c>
      <c r="X30" s="28">
        <f t="shared" si="14"/>
        <v>-0.35201620985787008</v>
      </c>
      <c r="Y30" s="28">
        <f t="shared" si="15"/>
        <v>65.83011085355345</v>
      </c>
      <c r="Z30" s="28">
        <f t="shared" si="16"/>
        <v>172.88636359090907</v>
      </c>
      <c r="AA30" s="28">
        <f t="shared" si="17"/>
        <v>1579.6479220808747</v>
      </c>
      <c r="AB30" s="32">
        <f t="shared" si="18"/>
        <v>1752.5342856717837</v>
      </c>
      <c r="AC30" s="22">
        <f>INDEX(Data_Cert!$E$4:$E$195,MATCH($A30,Data_Cert!$A$4:$A$195,0))</f>
        <v>1683.92</v>
      </c>
      <c r="AD30" s="22">
        <f t="shared" si="19"/>
        <v>68.614285671783591</v>
      </c>
      <c r="AE30" s="23">
        <f t="shared" si="20"/>
        <v>4.0746760933882603E-2</v>
      </c>
      <c r="AF30" s="36">
        <f>Data_Stock!D30</f>
        <v>1756.54</v>
      </c>
    </row>
    <row r="31" spans="1:32" x14ac:dyDescent="0.2">
      <c r="A31" s="35">
        <f>Data_Stock!A31</f>
        <v>45943</v>
      </c>
      <c r="B31" s="36">
        <f>Data_Stock!B31</f>
        <v>1860.9</v>
      </c>
      <c r="C31" s="37">
        <f>Data_Stock!C31</f>
        <v>0.307</v>
      </c>
      <c r="D31" s="38">
        <f t="shared" si="0"/>
        <v>1.6794520547945206</v>
      </c>
      <c r="E31" s="28">
        <f>INDEX(Data_Svensson!$B$4:$B$202,MATCH($A31,Data_Svensson!$A$4:$A$202,1))</f>
        <v>1.1772739999999999</v>
      </c>
      <c r="F31" s="28">
        <f>INDEX(Data_Svensson!$C$4:$C$202,MATCH($A31,Data_Svensson!$A$4:$A$202,1))</f>
        <v>0.74978999999999996</v>
      </c>
      <c r="G31" s="28">
        <f>INDEX(Data_Svensson!$D$4:$D$202,MATCH($A31,Data_Svensson!$A$4:$A$202,1))</f>
        <v>-2.3145959999999999</v>
      </c>
      <c r="H31" s="28">
        <f>INDEX(Data_Svensson!$E$4:$E$202,MATCH($A31,Data_Svensson!$A$4:$A$202,1))</f>
        <v>7.727716</v>
      </c>
      <c r="I31" s="28">
        <f>INDEX(Data_Svensson!$F$4:$F$202,MATCH($A31,Data_Svensson!$A$4:$A$202,1))</f>
        <v>3.8802210000000001</v>
      </c>
      <c r="J31" s="28">
        <f>INDEX(Data_Svensson!$G$4:$G$202,MATCH($A31,Data_Svensson!$A$4:$A$202,1))</f>
        <v>11.612280999999999</v>
      </c>
      <c r="K31" s="28">
        <f t="shared" si="1"/>
        <v>0.81170494641071211</v>
      </c>
      <c r="L31" s="28">
        <f t="shared" si="2"/>
        <v>0.16303017766335126</v>
      </c>
      <c r="M31" s="28">
        <f t="shared" si="3"/>
        <v>6.5705261776518809E-2</v>
      </c>
      <c r="N31" s="29">
        <f t="shared" si="4"/>
        <v>1.9162848573849981E-2</v>
      </c>
      <c r="O31" s="29">
        <f t="shared" si="5"/>
        <v>1.3162848573849981E-2</v>
      </c>
      <c r="P31" s="28">
        <f t="shared" si="6"/>
        <v>0.39785258163335924</v>
      </c>
      <c r="Q31" s="28">
        <f t="shared" si="7"/>
        <v>-0.36033964738246582</v>
      </c>
      <c r="R31" s="28">
        <f t="shared" si="8"/>
        <v>7.3300448185705025E-2</v>
      </c>
      <c r="S31" s="28">
        <f t="shared" si="9"/>
        <v>1.6928878183245273</v>
      </c>
      <c r="T31" s="28">
        <f t="shared" si="10"/>
        <v>-2.8034941431485678</v>
      </c>
      <c r="U31" s="28">
        <f t="shared" si="11"/>
        <v>-1.1839067730097452</v>
      </c>
      <c r="V31" s="28">
        <f t="shared" si="12"/>
        <v>347.45229538940191</v>
      </c>
      <c r="W31" s="28">
        <f t="shared" si="13"/>
        <v>105.78240704436023</v>
      </c>
      <c r="X31" s="28">
        <f t="shared" si="14"/>
        <v>-0.2385542722233791</v>
      </c>
      <c r="Y31" s="28">
        <f t="shared" si="15"/>
        <v>61.570915587042577</v>
      </c>
      <c r="Z31" s="28">
        <f t="shared" si="16"/>
        <v>179.86041848577571</v>
      </c>
      <c r="AA31" s="28">
        <f t="shared" si="17"/>
        <v>1589.2062623763336</v>
      </c>
      <c r="AB31" s="32">
        <f t="shared" si="18"/>
        <v>1769.0666808621093</v>
      </c>
      <c r="AC31" s="22">
        <f>INDEX(Data_Cert!$E$4:$E$195,MATCH($A31,Data_Cert!$A$4:$A$195,0))</f>
        <v>1686.85</v>
      </c>
      <c r="AD31" s="22">
        <f t="shared" si="19"/>
        <v>82.216680862109342</v>
      </c>
      <c r="AE31" s="23">
        <f t="shared" si="20"/>
        <v>4.8739769903731418E-2</v>
      </c>
      <c r="AF31" s="36">
        <f>Data_Stock!D31</f>
        <v>1779.27</v>
      </c>
    </row>
    <row r="32" spans="1:32" x14ac:dyDescent="0.2">
      <c r="A32" s="35">
        <f>Data_Stock!A32</f>
        <v>45944</v>
      </c>
      <c r="B32" s="36">
        <f>Data_Stock!B32</f>
        <v>1820.3</v>
      </c>
      <c r="C32" s="37">
        <f>Data_Stock!C32</f>
        <v>0.31</v>
      </c>
      <c r="D32" s="38">
        <f t="shared" si="0"/>
        <v>1.6767123287671233</v>
      </c>
      <c r="E32" s="28">
        <f>INDEX(Data_Svensson!$B$4:$B$202,MATCH($A32,Data_Svensson!$A$4:$A$202,1))</f>
        <v>1.1634359999999999</v>
      </c>
      <c r="F32" s="28">
        <f>INDEX(Data_Svensson!$C$4:$C$202,MATCH($A32,Data_Svensson!$A$4:$A$202,1))</f>
        <v>0.74560599999999999</v>
      </c>
      <c r="G32" s="28">
        <f>INDEX(Data_Svensson!$D$4:$D$202,MATCH($A32,Data_Svensson!$A$4:$A$202,1))</f>
        <v>-1.522</v>
      </c>
      <c r="H32" s="28">
        <f>INDEX(Data_Svensson!$E$4:$E$202,MATCH($A32,Data_Svensson!$A$4:$A$202,1))</f>
        <v>7.1568519999999998</v>
      </c>
      <c r="I32" s="28">
        <f>INDEX(Data_Svensson!$F$4:$F$202,MATCH($A32,Data_Svensson!$A$4:$A$202,1))</f>
        <v>3.33535</v>
      </c>
      <c r="J32" s="28">
        <f>INDEX(Data_Svensson!$G$4:$G$202,MATCH($A32,Data_Svensson!$A$4:$A$202,1))</f>
        <v>12.867705000000001</v>
      </c>
      <c r="K32" s="28">
        <f t="shared" si="1"/>
        <v>0.78596187258069716</v>
      </c>
      <c r="L32" s="28">
        <f t="shared" si="2"/>
        <v>0.18107241920907191</v>
      </c>
      <c r="M32" s="28">
        <f t="shared" si="3"/>
        <v>5.9759454806158518E-2</v>
      </c>
      <c r="N32" s="29">
        <f t="shared" si="4"/>
        <v>1.901551239579561E-2</v>
      </c>
      <c r="O32" s="29">
        <f t="shared" si="5"/>
        <v>1.301551239579561E-2</v>
      </c>
      <c r="P32" s="28">
        <f t="shared" si="6"/>
        <v>0.40141257428551058</v>
      </c>
      <c r="Q32" s="28">
        <f t="shared" si="7"/>
        <v>-0.36456282626643483</v>
      </c>
      <c r="R32" s="28">
        <f t="shared" si="8"/>
        <v>2.0536077179335199E-2</v>
      </c>
      <c r="S32" s="28">
        <f t="shared" si="9"/>
        <v>1.6257598735126431</v>
      </c>
      <c r="T32" s="28">
        <f t="shared" si="10"/>
        <v>-2.7208387264357521</v>
      </c>
      <c r="U32" s="28">
        <f t="shared" si="11"/>
        <v>-1.1156149301024436</v>
      </c>
      <c r="V32" s="28">
        <f t="shared" si="12"/>
        <v>369.73702032603103</v>
      </c>
      <c r="W32" s="28">
        <f t="shared" si="13"/>
        <v>120.18294655345262</v>
      </c>
      <c r="X32" s="28">
        <f t="shared" si="14"/>
        <v>-0.31932427426408116</v>
      </c>
      <c r="Y32" s="28">
        <f t="shared" si="15"/>
        <v>68.524380694353511</v>
      </c>
      <c r="Z32" s="28">
        <f t="shared" si="16"/>
        <v>180.71036880396082</v>
      </c>
      <c r="AA32" s="28">
        <f t="shared" si="17"/>
        <v>1567.5017336336059</v>
      </c>
      <c r="AB32" s="32">
        <f t="shared" si="18"/>
        <v>1748.2121024375667</v>
      </c>
      <c r="AC32" s="22">
        <f>INDEX(Data_Cert!$E$4:$E$195,MATCH($A32,Data_Cert!$A$4:$A$195,0))</f>
        <v>1670.95</v>
      </c>
      <c r="AD32" s="22">
        <f t="shared" si="19"/>
        <v>77.262102437566682</v>
      </c>
      <c r="AE32" s="23">
        <f t="shared" si="20"/>
        <v>4.6238428700779009E-2</v>
      </c>
      <c r="AF32" s="36">
        <f>Data_Stock!D32</f>
        <v>1757.41</v>
      </c>
    </row>
    <row r="33" spans="1:32" x14ac:dyDescent="0.2">
      <c r="A33" s="35">
        <f>Data_Stock!A33</f>
        <v>45945</v>
      </c>
      <c r="B33" s="36">
        <f>Data_Stock!B33</f>
        <v>1727.73</v>
      </c>
      <c r="C33" s="37">
        <f>Data_Stock!C33</f>
        <v>0.36299999999999999</v>
      </c>
      <c r="D33" s="38">
        <f t="shared" si="0"/>
        <v>1.6739726027397259</v>
      </c>
      <c r="E33" s="28">
        <f>INDEX(Data_Svensson!$B$4:$B$202,MATCH($A33,Data_Svensson!$A$4:$A$202,1))</f>
        <v>1.163297</v>
      </c>
      <c r="F33" s="28">
        <f>INDEX(Data_Svensson!$C$4:$C$202,MATCH($A33,Data_Svensson!$A$4:$A$202,1))</f>
        <v>0.74689399999999995</v>
      </c>
      <c r="G33" s="28">
        <f>INDEX(Data_Svensson!$D$4:$D$202,MATCH($A33,Data_Svensson!$A$4:$A$202,1))</f>
        <v>-2.4205969999999999</v>
      </c>
      <c r="H33" s="28">
        <f>INDEX(Data_Svensson!$E$4:$E$202,MATCH($A33,Data_Svensson!$A$4:$A$202,1))</f>
        <v>7.6492209999999998</v>
      </c>
      <c r="I33" s="28">
        <f>INDEX(Data_Svensson!$F$4:$F$202,MATCH($A33,Data_Svensson!$A$4:$A$202,1))</f>
        <v>3.949449</v>
      </c>
      <c r="J33" s="28">
        <f>INDEX(Data_Svensson!$G$4:$G$202,MATCH($A33,Data_Svensson!$A$4:$A$202,1))</f>
        <v>11.533274</v>
      </c>
      <c r="K33" s="28">
        <f t="shared" si="1"/>
        <v>0.81509496820450911</v>
      </c>
      <c r="L33" s="28">
        <f t="shared" si="2"/>
        <v>0.16057269064259005</v>
      </c>
      <c r="M33" s="28">
        <f t="shared" si="3"/>
        <v>6.5917137065781062E-2</v>
      </c>
      <c r="N33" s="29">
        <f t="shared" si="4"/>
        <v>1.8876195170342079E-2</v>
      </c>
      <c r="O33" s="29">
        <f t="shared" si="5"/>
        <v>1.2876195170342079E-2</v>
      </c>
      <c r="P33" s="28">
        <f t="shared" si="6"/>
        <v>0.46965699812779427</v>
      </c>
      <c r="Q33" s="28">
        <f t="shared" si="7"/>
        <v>-0.40228206049721799</v>
      </c>
      <c r="R33" s="28">
        <f t="shared" si="8"/>
        <v>-3.086407006875358E-2</v>
      </c>
      <c r="S33" s="28">
        <f t="shared" si="9"/>
        <v>1.3411095595356817</v>
      </c>
      <c r="T33" s="28">
        <f t="shared" si="10"/>
        <v>-2.1516383627521023</v>
      </c>
      <c r="U33" s="28">
        <f t="shared" si="11"/>
        <v>-0.77966473314766738</v>
      </c>
      <c r="V33" s="28">
        <f t="shared" si="12"/>
        <v>463.97607743831975</v>
      </c>
      <c r="W33" s="28">
        <f t="shared" si="13"/>
        <v>217.73511289309536</v>
      </c>
      <c r="X33" s="28">
        <f t="shared" si="14"/>
        <v>-2.1487571738712745</v>
      </c>
      <c r="Y33" s="28">
        <f t="shared" si="15"/>
        <v>100.58440298830124</v>
      </c>
      <c r="Z33" s="28">
        <f t="shared" si="16"/>
        <v>143.50780438305188</v>
      </c>
      <c r="AA33" s="28">
        <f t="shared" si="17"/>
        <v>1473.8154699586376</v>
      </c>
      <c r="AB33" s="32">
        <f t="shared" si="18"/>
        <v>1617.3232743416895</v>
      </c>
      <c r="AC33" s="22">
        <f>INDEX(Data_Cert!$E$4:$E$195,MATCH($A33,Data_Cert!$A$4:$A$195,0))</f>
        <v>1626.96</v>
      </c>
      <c r="AD33" s="22">
        <f t="shared" si="19"/>
        <v>-9.6367256583105245</v>
      </c>
      <c r="AE33" s="23">
        <f t="shared" si="20"/>
        <v>-5.9231484844805803E-3</v>
      </c>
      <c r="AF33" s="36">
        <f>Data_Stock!D33</f>
        <v>1636.81</v>
      </c>
    </row>
    <row r="34" spans="1:32" x14ac:dyDescent="0.2">
      <c r="A34" s="35">
        <f>Data_Stock!A34</f>
        <v>45946</v>
      </c>
      <c r="B34" s="36">
        <f>Data_Stock!B34</f>
        <v>1756.94</v>
      </c>
      <c r="C34" s="37">
        <f>Data_Stock!C34</f>
        <v>0.35799999999999998</v>
      </c>
      <c r="D34" s="38">
        <f t="shared" si="0"/>
        <v>1.6712328767123288</v>
      </c>
      <c r="E34" s="28">
        <f>INDEX(Data_Svensson!$B$4:$B$202,MATCH($A34,Data_Svensson!$A$4:$A$202,1))</f>
        <v>1.1551530000000001</v>
      </c>
      <c r="F34" s="28">
        <f>INDEX(Data_Svensson!$C$4:$C$202,MATCH($A34,Data_Svensson!$A$4:$A$202,1))</f>
        <v>0.75893200000000005</v>
      </c>
      <c r="G34" s="28">
        <f>INDEX(Data_Svensson!$D$4:$D$202,MATCH($A34,Data_Svensson!$A$4:$A$202,1))</f>
        <v>-2.3622800000000002</v>
      </c>
      <c r="H34" s="28">
        <f>INDEX(Data_Svensson!$E$4:$E$202,MATCH($A34,Data_Svensson!$A$4:$A$202,1))</f>
        <v>7.6860980000000003</v>
      </c>
      <c r="I34" s="28">
        <f>INDEX(Data_Svensson!$F$4:$F$202,MATCH($A34,Data_Svensson!$A$4:$A$202,1))</f>
        <v>3.8874580000000001</v>
      </c>
      <c r="J34" s="28">
        <f>INDEX(Data_Svensson!$G$4:$G$202,MATCH($A34,Data_Svensson!$A$4:$A$202,1))</f>
        <v>11.629346</v>
      </c>
      <c r="K34" s="28">
        <f t="shared" si="1"/>
        <v>0.81280585805567462</v>
      </c>
      <c r="L34" s="28">
        <f t="shared" si="2"/>
        <v>0.16223416631444365</v>
      </c>
      <c r="M34" s="28">
        <f t="shared" si="3"/>
        <v>6.5327283995859853E-2</v>
      </c>
      <c r="N34" s="29">
        <f t="shared" si="4"/>
        <v>1.8908867559306361E-2</v>
      </c>
      <c r="O34" s="29">
        <f t="shared" si="5"/>
        <v>1.2908867559306361E-2</v>
      </c>
      <c r="P34" s="28">
        <f t="shared" si="6"/>
        <v>0.46280869742363195</v>
      </c>
      <c r="Q34" s="28">
        <f t="shared" si="7"/>
        <v>-0.3992785215871355</v>
      </c>
      <c r="R34" s="28">
        <f t="shared" si="8"/>
        <v>-1.9529710422646063E-3</v>
      </c>
      <c r="S34" s="28">
        <f t="shared" si="9"/>
        <v>1.3903221093041644</v>
      </c>
      <c r="T34" s="28">
        <f t="shared" si="10"/>
        <v>-2.2265589397732808</v>
      </c>
      <c r="U34" s="28">
        <f t="shared" si="11"/>
        <v>-0.83428385942685179</v>
      </c>
      <c r="V34" s="28">
        <f t="shared" si="12"/>
        <v>444.59723501092344</v>
      </c>
      <c r="W34" s="28">
        <f t="shared" si="13"/>
        <v>199.65214084885162</v>
      </c>
      <c r="X34" s="28">
        <f t="shared" si="14"/>
        <v>-1.7090386596416192</v>
      </c>
      <c r="Y34" s="28">
        <f t="shared" si="15"/>
        <v>95.056182380256359</v>
      </c>
      <c r="Z34" s="28">
        <f t="shared" si="16"/>
        <v>148.17987312217386</v>
      </c>
      <c r="AA34" s="28">
        <f t="shared" si="17"/>
        <v>1493.1887168904286</v>
      </c>
      <c r="AB34" s="32">
        <f t="shared" si="18"/>
        <v>1641.3685900126025</v>
      </c>
      <c r="AC34" s="22">
        <f>INDEX(Data_Cert!$E$4:$E$195,MATCH($A34,Data_Cert!$A$4:$A$195,0))</f>
        <v>1605.02</v>
      </c>
      <c r="AD34" s="22">
        <f t="shared" si="19"/>
        <v>36.348590012602472</v>
      </c>
      <c r="AE34" s="23">
        <f t="shared" si="20"/>
        <v>2.2646814377766302E-2</v>
      </c>
      <c r="AF34" s="36">
        <f>Data_Stock!D34</f>
        <v>1645.79</v>
      </c>
    </row>
    <row r="35" spans="1:32" x14ac:dyDescent="0.2">
      <c r="A35" s="35">
        <f>Data_Stock!A35</f>
        <v>45950</v>
      </c>
      <c r="B35" s="36">
        <f>Data_Stock!B35</f>
        <v>1742.09</v>
      </c>
      <c r="C35" s="37">
        <f>Data_Stock!C35</f>
        <v>0.47299999999999998</v>
      </c>
      <c r="D35" s="38">
        <f t="shared" si="0"/>
        <v>1.6602739726027398</v>
      </c>
      <c r="E35" s="28">
        <f>INDEX(Data_Svensson!$B$4:$B$202,MATCH($A35,Data_Svensson!$A$4:$A$202,1))</f>
        <v>1.1350389999999999</v>
      </c>
      <c r="F35" s="28">
        <f>INDEX(Data_Svensson!$C$4:$C$202,MATCH($A35,Data_Svensson!$A$4:$A$202,1))</f>
        <v>0.75248300000000001</v>
      </c>
      <c r="G35" s="28">
        <f>INDEX(Data_Svensson!$D$4:$D$202,MATCH($A35,Data_Svensson!$A$4:$A$202,1))</f>
        <v>-2.2916799999999999</v>
      </c>
      <c r="H35" s="28">
        <f>INDEX(Data_Svensson!$E$4:$E$202,MATCH($A35,Data_Svensson!$A$4:$A$202,1))</f>
        <v>7.7497350000000003</v>
      </c>
      <c r="I35" s="28">
        <f>INDEX(Data_Svensson!$F$4:$F$202,MATCH($A35,Data_Svensson!$A$4:$A$202,1))</f>
        <v>3.9657830000000001</v>
      </c>
      <c r="J35" s="28">
        <f>INDEX(Data_Svensson!$G$4:$G$202,MATCH($A35,Data_Svensson!$A$4:$A$202,1))</f>
        <v>11.773092</v>
      </c>
      <c r="K35" s="28">
        <f t="shared" si="1"/>
        <v>0.81706822244238531</v>
      </c>
      <c r="L35" s="28">
        <f t="shared" si="2"/>
        <v>0.15913361118450209</v>
      </c>
      <c r="M35" s="28">
        <f t="shared" si="3"/>
        <v>6.4220008813836826E-2</v>
      </c>
      <c r="N35" s="29">
        <f t="shared" si="4"/>
        <v>1.8828736831537133E-2</v>
      </c>
      <c r="O35" s="29">
        <f t="shared" si="5"/>
        <v>1.2828736831537133E-2</v>
      </c>
      <c r="P35" s="28">
        <f t="shared" si="6"/>
        <v>0.60946815800043097</v>
      </c>
      <c r="Q35" s="28">
        <f t="shared" si="7"/>
        <v>-0.44265948164280383</v>
      </c>
      <c r="R35" s="28">
        <f t="shared" si="8"/>
        <v>0.11315324033694185</v>
      </c>
      <c r="S35" s="28">
        <f t="shared" si="9"/>
        <v>1.1703980002675463</v>
      </c>
      <c r="T35" s="28">
        <f t="shared" si="10"/>
        <v>-1.5482801619938191</v>
      </c>
      <c r="U35" s="28">
        <f t="shared" si="11"/>
        <v>-0.49103540206321467</v>
      </c>
      <c r="V35" s="28">
        <f t="shared" si="12"/>
        <v>553.12938508203035</v>
      </c>
      <c r="W35" s="28">
        <f t="shared" si="13"/>
        <v>348.58697177123088</v>
      </c>
      <c r="X35" s="28">
        <f t="shared" si="14"/>
        <v>-12.661252290923578</v>
      </c>
      <c r="Y35" s="28">
        <f t="shared" si="15"/>
        <v>105.61295514050823</v>
      </c>
      <c r="Z35" s="28">
        <f t="shared" si="16"/>
        <v>86.268205879367656</v>
      </c>
      <c r="AA35" s="28">
        <f t="shared" si="17"/>
        <v>1385.3160289468838</v>
      </c>
      <c r="AB35" s="32">
        <f t="shared" si="18"/>
        <v>1471.5842348262513</v>
      </c>
      <c r="AC35" s="22">
        <f>INDEX(Data_Cert!$E$4:$E$195,MATCH($A35,Data_Cert!$A$4:$A$195,0))</f>
        <v>1645.41</v>
      </c>
      <c r="AD35" s="22">
        <f t="shared" si="19"/>
        <v>-173.82576517374878</v>
      </c>
      <c r="AE35" s="23">
        <f t="shared" si="20"/>
        <v>-0.10564282772910628</v>
      </c>
      <c r="AF35" s="36">
        <f>Data_Stock!D35</f>
        <v>1474.64</v>
      </c>
    </row>
    <row r="36" spans="1:32" x14ac:dyDescent="0.2">
      <c r="A36" s="35">
        <f>Data_Stock!A36</f>
        <v>45951</v>
      </c>
      <c r="B36" s="36">
        <f>Data_Stock!B36</f>
        <v>1762.88</v>
      </c>
      <c r="C36" s="37">
        <f>Data_Stock!C36</f>
        <v>0.46100000000000002</v>
      </c>
      <c r="D36" s="38">
        <f t="shared" ref="D36:D67" si="21">MAX((MaturityDate-A36)/365,1/365)</f>
        <v>1.6575342465753424</v>
      </c>
      <c r="E36" s="28">
        <f>INDEX(Data_Svensson!$B$4:$B$202,MATCH($A36,Data_Svensson!$A$4:$A$202,1))</f>
        <v>1.1320030000000001</v>
      </c>
      <c r="F36" s="28">
        <f>INDEX(Data_Svensson!$C$4:$C$202,MATCH($A36,Data_Svensson!$A$4:$A$202,1))</f>
        <v>0.74937799999999999</v>
      </c>
      <c r="G36" s="28">
        <f>INDEX(Data_Svensson!$D$4:$D$202,MATCH($A36,Data_Svensson!$A$4:$A$202,1))</f>
        <v>-2.3077350000000001</v>
      </c>
      <c r="H36" s="28">
        <f>INDEX(Data_Svensson!$E$4:$E$202,MATCH($A36,Data_Svensson!$A$4:$A$202,1))</f>
        <v>7.640174</v>
      </c>
      <c r="I36" s="28">
        <f>INDEX(Data_Svensson!$F$4:$F$202,MATCH($A36,Data_Svensson!$A$4:$A$202,1))</f>
        <v>4.0219519999999997</v>
      </c>
      <c r="J36" s="28">
        <f>INDEX(Data_Svensson!$G$4:$G$202,MATCH($A36,Data_Svensson!$A$4:$A$202,1))</f>
        <v>11.750947999999999</v>
      </c>
      <c r="K36" s="28">
        <f t="shared" ref="K36:K67" si="22">(1-EXP(-D36/I36))/(D36/I36)</f>
        <v>0.81955476344892486</v>
      </c>
      <c r="L36" s="28">
        <f t="shared" ref="L36:L67" si="23">K36-EXP(-D36/I36)</f>
        <v>0.15731117808553585</v>
      </c>
      <c r="M36" s="28">
        <f t="shared" ref="M36:M67" si="24">(1-EXP(-D36/J36))/(D36/J36)-EXP(-D36/J36)</f>
        <v>6.4233475025601394E-2</v>
      </c>
      <c r="N36" s="29">
        <f t="shared" ref="N36:N67" si="25">(E36+F36*K36+G36*L36+H36*M36)/100</f>
        <v>1.8738817237848534E-2</v>
      </c>
      <c r="O36" s="29">
        <f t="shared" ref="O36:O67" si="26">N36-q</f>
        <v>1.2738817237848534E-2</v>
      </c>
      <c r="P36" s="28">
        <f t="shared" ref="P36:P67" si="27">C36*SQRT(D36)</f>
        <v>0.59351565743157819</v>
      </c>
      <c r="Q36" s="28">
        <f t="shared" ref="Q36:Q67" si="28">(O36-0.5*C36^2)/C36^2</f>
        <v>-0.44005854838887204</v>
      </c>
      <c r="R36" s="28">
        <f t="shared" ref="R36:R67" si="29">LN(B36/Cap)/P36+(1+Q36)*P36</f>
        <v>0.11970551660008616</v>
      </c>
      <c r="S36" s="28">
        <f t="shared" ref="S36:S67" si="30">LN(B36/Barrier)/P36+(1+Q36)*P36</f>
        <v>1.2053668775470738</v>
      </c>
      <c r="T36" s="28">
        <f t="shared" ref="T36:T67" si="31">LN(Barrier^2/(B36*Cap))/P36+(1+Q36)*P36</f>
        <v>-1.6263602009417197</v>
      </c>
      <c r="U36" s="28">
        <f t="shared" ref="U36:U67" si="32">LN(Barrier/B36)/P36+(1+Q36)*P36</f>
        <v>-0.54069883999473223</v>
      </c>
      <c r="V36" s="28">
        <f t="shared" ref="V36:V67" si="33">-B36*EXP((O36-N36)*D36)*NORMSDIST(-R36)+Cap*EXP(-N36*D36)*NORMSDIST(-R36+P36)</f>
        <v>533.07686010473242</v>
      </c>
      <c r="W36" s="28">
        <f t="shared" ref="W36:W67" si="34">-B36*EXP((O36-N36)*D36)*NORMSDIST(-S36)+Cap*EXP(-N36*D36)*NORMSDIST(-S36+P36)</f>
        <v>325.06861625315281</v>
      </c>
      <c r="X36" s="28">
        <f t="shared" ref="X36:X67" si="35">-B36*EXP((O36-N36)*D36)*(Barrier/B36)^(2*(Q36+1))*NORMSDIST(T36)+Cap*EXP(-N36*D36)*(Barrier/B36)^(2*Q36)*NORMSDIST(T36-P36)</f>
        <v>-10.319763484213965</v>
      </c>
      <c r="Y36" s="28">
        <f t="shared" ref="Y36:Y67" si="36">-B36*EXP((O36-N36)*D36)*(Barrier/B36)^(2*(Q36+1))*NORMSDIST(U36)+Cap*EXP(-N36*D36)*(Barrier/B36)^(2*Q36)*NORMSDIST(U36-P36)</f>
        <v>105.05905902803369</v>
      </c>
      <c r="Z36" s="28">
        <f t="shared" ref="Z36:Z67" si="37">IF(B36&lt;=Barrier,0,V36-W36+X36-Y36)</f>
        <v>92.629421339331941</v>
      </c>
      <c r="AA36" s="28">
        <f t="shared" ref="AA36:AA67" si="38">Cap*EXP(-N36*D36)-V36</f>
        <v>1405.7575039927888</v>
      </c>
      <c r="AB36" s="32">
        <f t="shared" ref="AB36:AB67" si="39">AA36+Z36</f>
        <v>1498.3869253321207</v>
      </c>
      <c r="AC36" s="22">
        <f>INDEX(Data_Cert!$E$4:$E$195,MATCH($A36,Data_Cert!$A$4:$A$195,0))</f>
        <v>1638.78</v>
      </c>
      <c r="AD36" s="22">
        <f t="shared" ref="AD36:AD67" si="40">AB36-AC36</f>
        <v>-140.39307466787932</v>
      </c>
      <c r="AE36" s="23">
        <f t="shared" ref="AE36:AE67" si="41">AD36/AC36</f>
        <v>-8.5669262907699217E-2</v>
      </c>
      <c r="AF36" s="36">
        <f>Data_Stock!D36</f>
        <v>1510.87</v>
      </c>
    </row>
    <row r="37" spans="1:32" x14ac:dyDescent="0.2">
      <c r="A37" s="35">
        <f>Data_Stock!A37</f>
        <v>45952</v>
      </c>
      <c r="B37" s="36">
        <f>Data_Stock!B37</f>
        <v>1733.18</v>
      </c>
      <c r="C37" s="37">
        <f>Data_Stock!C37</f>
        <v>0.45200000000000001</v>
      </c>
      <c r="D37" s="38">
        <f t="shared" si="21"/>
        <v>1.6547945205479453</v>
      </c>
      <c r="E37" s="28">
        <f>INDEX(Data_Svensson!$B$4:$B$202,MATCH($A37,Data_Svensson!$A$4:$A$202,1))</f>
        <v>1.1339889999999999</v>
      </c>
      <c r="F37" s="28">
        <f>INDEX(Data_Svensson!$C$4:$C$202,MATCH($A37,Data_Svensson!$A$4:$A$202,1))</f>
        <v>0.76487499999999997</v>
      </c>
      <c r="G37" s="28">
        <f>INDEX(Data_Svensson!$D$4:$D$202,MATCH($A37,Data_Svensson!$A$4:$A$202,1))</f>
        <v>-2.298413</v>
      </c>
      <c r="H37" s="28">
        <f>INDEX(Data_Svensson!$E$4:$E$202,MATCH($A37,Data_Svensson!$A$4:$A$202,1))</f>
        <v>7.6464780000000001</v>
      </c>
      <c r="I37" s="28">
        <f>INDEX(Data_Svensson!$F$4:$F$202,MATCH($A37,Data_Svensson!$A$4:$A$202,1))</f>
        <v>3.9499</v>
      </c>
      <c r="J37" s="28">
        <f>INDEX(Data_Svensson!$G$4:$G$202,MATCH($A37,Data_Svensson!$A$4:$A$202,1))</f>
        <v>11.715217000000001</v>
      </c>
      <c r="K37" s="28">
        <f t="shared" si="22"/>
        <v>0.81695564399408516</v>
      </c>
      <c r="L37" s="28">
        <f t="shared" si="23"/>
        <v>0.15921588430703737</v>
      </c>
      <c r="M37" s="28">
        <f t="shared" si="24"/>
        <v>6.4314570503026802E-2</v>
      </c>
      <c r="N37" s="29">
        <f t="shared" si="25"/>
        <v>1.8846940383330284E-2</v>
      </c>
      <c r="O37" s="29">
        <f t="shared" si="26"/>
        <v>1.2846940383330284E-2</v>
      </c>
      <c r="P37" s="28">
        <f t="shared" si="27"/>
        <v>0.58144745224828998</v>
      </c>
      <c r="Q37" s="28">
        <f t="shared" si="28"/>
        <v>-0.43711850779558753</v>
      </c>
      <c r="R37" s="28">
        <f t="shared" si="29"/>
        <v>8.102246753495157E-2</v>
      </c>
      <c r="S37" s="28">
        <f t="shared" si="30"/>
        <v>1.1892172216764827</v>
      </c>
      <c r="T37" s="28">
        <f t="shared" si="31"/>
        <v>-1.6428399566980705</v>
      </c>
      <c r="U37" s="28">
        <f t="shared" si="32"/>
        <v>-0.53464520255653991</v>
      </c>
      <c r="V37" s="28">
        <f t="shared" si="33"/>
        <v>538.1297429703751</v>
      </c>
      <c r="W37" s="28">
        <f t="shared" si="34"/>
        <v>325.57355235120463</v>
      </c>
      <c r="X37" s="28">
        <f t="shared" si="35"/>
        <v>-9.7572226533631081</v>
      </c>
      <c r="Y37" s="28">
        <f t="shared" si="36"/>
        <v>107.79438353792472</v>
      </c>
      <c r="Z37" s="28">
        <f t="shared" si="37"/>
        <v>95.004584427882662</v>
      </c>
      <c r="AA37" s="28">
        <f t="shared" si="38"/>
        <v>1400.4572758355589</v>
      </c>
      <c r="AB37" s="32">
        <f t="shared" si="39"/>
        <v>1495.4618602634416</v>
      </c>
      <c r="AC37" s="22">
        <f>INDEX(Data_Cert!$E$4:$E$195,MATCH($A37,Data_Cert!$A$4:$A$195,0))</f>
        <v>1631.24</v>
      </c>
      <c r="AD37" s="22">
        <f t="shared" si="40"/>
        <v>-135.77813973655839</v>
      </c>
      <c r="AE37" s="23">
        <f t="shared" si="41"/>
        <v>-8.3236151477746004E-2</v>
      </c>
      <c r="AF37" s="36">
        <f>Data_Stock!D37</f>
        <v>1511.49</v>
      </c>
    </row>
    <row r="38" spans="1:32" x14ac:dyDescent="0.2">
      <c r="A38" s="35">
        <f>Data_Stock!A38</f>
        <v>45953</v>
      </c>
      <c r="B38" s="36">
        <f>Data_Stock!B38</f>
        <v>1748.52</v>
      </c>
      <c r="C38" s="37">
        <f>Data_Stock!C38</f>
        <v>0.44</v>
      </c>
      <c r="D38" s="38">
        <f t="shared" si="21"/>
        <v>1.6520547945205479</v>
      </c>
      <c r="E38" s="28">
        <f>INDEX(Data_Svensson!$B$4:$B$202,MATCH($A38,Data_Svensson!$A$4:$A$202,1))</f>
        <v>1.1283259999999999</v>
      </c>
      <c r="F38" s="28">
        <f>INDEX(Data_Svensson!$C$4:$C$202,MATCH($A38,Data_Svensson!$A$4:$A$202,1))</f>
        <v>0.77466100000000004</v>
      </c>
      <c r="G38" s="28">
        <f>INDEX(Data_Svensson!$D$4:$D$202,MATCH($A38,Data_Svensson!$A$4:$A$202,1))</f>
        <v>-2.2960250000000002</v>
      </c>
      <c r="H38" s="28">
        <f>INDEX(Data_Svensson!$E$4:$E$202,MATCH($A38,Data_Svensson!$A$4:$A$202,1))</f>
        <v>7.7216839999999998</v>
      </c>
      <c r="I38" s="28">
        <f>INDEX(Data_Svensson!$F$4:$F$202,MATCH($A38,Data_Svensson!$A$4:$A$202,1))</f>
        <v>3.9774820000000002</v>
      </c>
      <c r="J38" s="28">
        <f>INDEX(Data_Svensson!$G$4:$G$202,MATCH($A38,Data_Svensson!$A$4:$A$202,1))</f>
        <v>11.767270999999999</v>
      </c>
      <c r="K38" s="28">
        <f t="shared" si="22"/>
        <v>0.81832308612031857</v>
      </c>
      <c r="L38" s="28">
        <f t="shared" si="23"/>
        <v>0.15821515298370692</v>
      </c>
      <c r="M38" s="28">
        <f t="shared" si="24"/>
        <v>6.3960184707532841E-2</v>
      </c>
      <c r="N38" s="29">
        <f t="shared" si="25"/>
        <v>1.8928633684808373E-2</v>
      </c>
      <c r="O38" s="29">
        <f t="shared" si="26"/>
        <v>1.2928633684808373E-2</v>
      </c>
      <c r="P38" s="28">
        <f t="shared" si="27"/>
        <v>0.56554204814423659</v>
      </c>
      <c r="Q38" s="28">
        <f t="shared" si="28"/>
        <v>-0.43321986733053525</v>
      </c>
      <c r="R38" s="28">
        <f t="shared" si="29"/>
        <v>8.292973228207462E-2</v>
      </c>
      <c r="S38" s="28">
        <f t="shared" si="30"/>
        <v>1.2222915507443786</v>
      </c>
      <c r="T38" s="28">
        <f t="shared" si="31"/>
        <v>-1.7205773750519797</v>
      </c>
      <c r="U38" s="28">
        <f t="shared" si="32"/>
        <v>-0.58121555658967594</v>
      </c>
      <c r="V38" s="28">
        <f t="shared" si="33"/>
        <v>520.00638769381862</v>
      </c>
      <c r="W38" s="28">
        <f t="shared" si="34"/>
        <v>303.7763114396929</v>
      </c>
      <c r="X38" s="28">
        <f t="shared" si="35"/>
        <v>-7.8919921562500548</v>
      </c>
      <c r="Y38" s="28">
        <f t="shared" si="36"/>
        <v>106.69849389350759</v>
      </c>
      <c r="Z38" s="28">
        <f t="shared" si="37"/>
        <v>101.63959020436806</v>
      </c>
      <c r="AA38" s="28">
        <f t="shared" si="38"/>
        <v>1418.4191024474553</v>
      </c>
      <c r="AB38" s="32">
        <f t="shared" si="39"/>
        <v>1520.0586926518233</v>
      </c>
      <c r="AC38" s="22">
        <f>INDEX(Data_Cert!$E$4:$E$195,MATCH($A38,Data_Cert!$A$4:$A$195,0))</f>
        <v>1645.9</v>
      </c>
      <c r="AD38" s="22">
        <f t="shared" si="40"/>
        <v>-125.84130734817677</v>
      </c>
      <c r="AE38" s="23">
        <f t="shared" si="41"/>
        <v>-7.6457444163179275E-2</v>
      </c>
      <c r="AF38" s="36">
        <f>Data_Stock!D38</f>
        <v>1525.17</v>
      </c>
    </row>
    <row r="39" spans="1:32" x14ac:dyDescent="0.2">
      <c r="A39" s="35">
        <f>Data_Stock!A39</f>
        <v>45954</v>
      </c>
      <c r="B39" s="36">
        <f>Data_Stock!B39</f>
        <v>1746.54</v>
      </c>
      <c r="C39" s="37">
        <f>Data_Stock!C39</f>
        <v>0.42599999999999999</v>
      </c>
      <c r="D39" s="38">
        <f t="shared" si="21"/>
        <v>1.6493150684931508</v>
      </c>
      <c r="E39" s="28">
        <f>INDEX(Data_Svensson!$B$4:$B$202,MATCH($A39,Data_Svensson!$A$4:$A$202,1))</f>
        <v>1.1505190000000001</v>
      </c>
      <c r="F39" s="28">
        <f>INDEX(Data_Svensson!$C$4:$C$202,MATCH($A39,Data_Svensson!$A$4:$A$202,1))</f>
        <v>0.76558800000000005</v>
      </c>
      <c r="G39" s="28">
        <f>INDEX(Data_Svensson!$D$4:$D$202,MATCH($A39,Data_Svensson!$A$4:$A$202,1))</f>
        <v>-1.7138409999999999</v>
      </c>
      <c r="H39" s="28">
        <f>INDEX(Data_Svensson!$E$4:$E$202,MATCH($A39,Data_Svensson!$A$4:$A$202,1))</f>
        <v>7.4154879999999999</v>
      </c>
      <c r="I39" s="28">
        <f>INDEX(Data_Svensson!$F$4:$F$202,MATCH($A39,Data_Svensson!$A$4:$A$202,1))</f>
        <v>3.6939510000000002</v>
      </c>
      <c r="J39" s="28">
        <f>INDEX(Data_Svensson!$G$4:$G$202,MATCH($A39,Data_Svensson!$A$4:$A$202,1))</f>
        <v>12.49864</v>
      </c>
      <c r="K39" s="28">
        <f t="shared" si="22"/>
        <v>0.8065795670137661</v>
      </c>
      <c r="L39" s="28">
        <f t="shared" si="23"/>
        <v>0.16670990816189868</v>
      </c>
      <c r="M39" s="28">
        <f t="shared" si="24"/>
        <v>6.0452735381449241E-2</v>
      </c>
      <c r="N39" s="29">
        <f t="shared" si="25"/>
        <v>1.9305988956251508E-2</v>
      </c>
      <c r="O39" s="29">
        <f t="shared" si="26"/>
        <v>1.3305988956251508E-2</v>
      </c>
      <c r="P39" s="28">
        <f t="shared" si="27"/>
        <v>0.54709332053120796</v>
      </c>
      <c r="Q39" s="28">
        <f t="shared" si="28"/>
        <v>-0.42667907075177153</v>
      </c>
      <c r="R39" s="28">
        <f t="shared" si="29"/>
        <v>6.5968318033801043E-2</v>
      </c>
      <c r="S39" s="28">
        <f t="shared" si="30"/>
        <v>1.2437509598779124</v>
      </c>
      <c r="T39" s="28">
        <f t="shared" si="31"/>
        <v>-1.7942134998971218</v>
      </c>
      <c r="U39" s="28">
        <f t="shared" si="32"/>
        <v>-0.61643085805301046</v>
      </c>
      <c r="V39" s="28">
        <f t="shared" si="33"/>
        <v>507.45808912311452</v>
      </c>
      <c r="W39" s="28">
        <f t="shared" si="34"/>
        <v>286.09916420099677</v>
      </c>
      <c r="X39" s="28">
        <f t="shared" si="35"/>
        <v>-6.3765643523236157</v>
      </c>
      <c r="Y39" s="28">
        <f t="shared" si="36"/>
        <v>106.42569656307967</v>
      </c>
      <c r="Z39" s="28">
        <f t="shared" si="37"/>
        <v>108.55666400671447</v>
      </c>
      <c r="AA39" s="28">
        <f t="shared" si="38"/>
        <v>1429.8618088933622</v>
      </c>
      <c r="AB39" s="32">
        <f t="shared" si="39"/>
        <v>1538.4184729000767</v>
      </c>
      <c r="AC39" s="22">
        <f>INDEX(Data_Cert!$E$4:$E$195,MATCH($A39,Data_Cert!$A$4:$A$195,0))</f>
        <v>1636.25</v>
      </c>
      <c r="AD39" s="22">
        <f t="shared" si="40"/>
        <v>-97.831527099923278</v>
      </c>
      <c r="AE39" s="23">
        <f t="shared" si="41"/>
        <v>-5.9790085316989018E-2</v>
      </c>
      <c r="AF39" s="36">
        <f>Data_Stock!D39</f>
        <v>1553.92</v>
      </c>
    </row>
    <row r="40" spans="1:32" x14ac:dyDescent="0.2">
      <c r="A40" s="35">
        <f>Data_Stock!A40</f>
        <v>45957</v>
      </c>
      <c r="B40" s="36">
        <f>Data_Stock!B40</f>
        <v>1714.36</v>
      </c>
      <c r="C40" s="37">
        <f>Data_Stock!C40</f>
        <v>0.42</v>
      </c>
      <c r="D40" s="38">
        <f t="shared" si="21"/>
        <v>1.6410958904109589</v>
      </c>
      <c r="E40" s="28">
        <f>INDEX(Data_Svensson!$B$4:$B$202,MATCH($A40,Data_Svensson!$A$4:$A$202,1))</f>
        <v>1.1435709999999999</v>
      </c>
      <c r="F40" s="28">
        <f>INDEX(Data_Svensson!$C$4:$C$202,MATCH($A40,Data_Svensson!$A$4:$A$202,1))</f>
        <v>0.77319099999999996</v>
      </c>
      <c r="G40" s="28">
        <f>INDEX(Data_Svensson!$D$4:$D$202,MATCH($A40,Data_Svensson!$A$4:$A$202,1))</f>
        <v>-1.739598</v>
      </c>
      <c r="H40" s="28">
        <f>INDEX(Data_Svensson!$E$4:$E$202,MATCH($A40,Data_Svensson!$A$4:$A$202,1))</f>
        <v>7.42713</v>
      </c>
      <c r="I40" s="28">
        <f>INDEX(Data_Svensson!$F$4:$F$202,MATCH($A40,Data_Svensson!$A$4:$A$202,1))</f>
        <v>3.7716850000000002</v>
      </c>
      <c r="J40" s="28">
        <f>INDEX(Data_Svensson!$G$4:$G$202,MATCH($A40,Data_Svensson!$A$4:$A$202,1))</f>
        <v>12.474990999999999</v>
      </c>
      <c r="K40" s="28">
        <f t="shared" si="22"/>
        <v>0.81084464524817579</v>
      </c>
      <c r="L40" s="28">
        <f t="shared" si="23"/>
        <v>0.16365083534053848</v>
      </c>
      <c r="M40" s="28">
        <f t="shared" si="24"/>
        <v>6.0281746301065198E-2</v>
      </c>
      <c r="N40" s="29">
        <f t="shared" si="25"/>
        <v>1.9335424826523825E-2</v>
      </c>
      <c r="O40" s="29">
        <f t="shared" si="26"/>
        <v>1.3335424826523825E-2</v>
      </c>
      <c r="P40" s="28">
        <f t="shared" si="27"/>
        <v>0.53804211272770575</v>
      </c>
      <c r="Q40" s="28">
        <f t="shared" si="28"/>
        <v>-0.42440235359113482</v>
      </c>
      <c r="R40" s="28">
        <f t="shared" si="29"/>
        <v>2.3273310183230089E-2</v>
      </c>
      <c r="S40" s="28">
        <f t="shared" si="30"/>
        <v>1.2208691881784008</v>
      </c>
      <c r="T40" s="28">
        <f t="shared" si="31"/>
        <v>-1.7990735186637299</v>
      </c>
      <c r="U40" s="28">
        <f t="shared" si="32"/>
        <v>-0.60147764066855891</v>
      </c>
      <c r="V40" s="28">
        <f t="shared" si="33"/>
        <v>516.7475604553307</v>
      </c>
      <c r="W40" s="28">
        <f t="shared" si="34"/>
        <v>290.72011980929199</v>
      </c>
      <c r="X40" s="28">
        <f t="shared" si="35"/>
        <v>-6.2169538986009805</v>
      </c>
      <c r="Y40" s="28">
        <f t="shared" si="36"/>
        <v>109.47316934004641</v>
      </c>
      <c r="Z40" s="28">
        <f t="shared" si="37"/>
        <v>110.33731740739131</v>
      </c>
      <c r="AA40" s="28">
        <f t="shared" si="38"/>
        <v>1420.7861757674455</v>
      </c>
      <c r="AB40" s="32">
        <f t="shared" si="39"/>
        <v>1531.1234931748368</v>
      </c>
      <c r="AC40" s="22">
        <f>INDEX(Data_Cert!$E$4:$E$195,MATCH($A40,Data_Cert!$A$4:$A$195,0))</f>
        <v>1622.33</v>
      </c>
      <c r="AD40" s="22">
        <f t="shared" si="40"/>
        <v>-91.20650682516316</v>
      </c>
      <c r="AE40" s="23">
        <f t="shared" si="41"/>
        <v>-5.6219454010690284E-2</v>
      </c>
      <c r="AF40" s="36">
        <f>Data_Stock!D40</f>
        <v>1533.8</v>
      </c>
    </row>
    <row r="41" spans="1:32" x14ac:dyDescent="0.2">
      <c r="A41" s="35">
        <f>Data_Stock!A41</f>
        <v>45958</v>
      </c>
      <c r="B41" s="36">
        <f>Data_Stock!B41</f>
        <v>1727.73</v>
      </c>
      <c r="C41" s="37">
        <f>Data_Stock!C41</f>
        <v>0.40799999999999997</v>
      </c>
      <c r="D41" s="38">
        <f t="shared" si="21"/>
        <v>1.6383561643835616</v>
      </c>
      <c r="E41" s="28">
        <f>INDEX(Data_Svensson!$B$4:$B$202,MATCH($A41,Data_Svensson!$A$4:$A$202,1))</f>
        <v>1.1341060000000001</v>
      </c>
      <c r="F41" s="28">
        <f>INDEX(Data_Svensson!$C$4:$C$202,MATCH($A41,Data_Svensson!$A$4:$A$202,1))</f>
        <v>0.78226099999999998</v>
      </c>
      <c r="G41" s="28">
        <f>INDEX(Data_Svensson!$D$4:$D$202,MATCH($A41,Data_Svensson!$A$4:$A$202,1))</f>
        <v>-1.737754</v>
      </c>
      <c r="H41" s="28">
        <f>INDEX(Data_Svensson!$E$4:$E$202,MATCH($A41,Data_Svensson!$A$4:$A$202,1))</f>
        <v>7.4219390000000001</v>
      </c>
      <c r="I41" s="28">
        <f>INDEX(Data_Svensson!$F$4:$F$202,MATCH($A41,Data_Svensson!$A$4:$A$202,1))</f>
        <v>3.770724</v>
      </c>
      <c r="J41" s="28">
        <f>INDEX(Data_Svensson!$G$4:$G$202,MATCH($A41,Data_Svensson!$A$4:$A$202,1))</f>
        <v>12.470189</v>
      </c>
      <c r="K41" s="28">
        <f t="shared" si="22"/>
        <v>0.81107625961394392</v>
      </c>
      <c r="L41" s="28">
        <f t="shared" si="23"/>
        <v>0.16348385818749822</v>
      </c>
      <c r="M41" s="28">
        <f t="shared" si="24"/>
        <v>6.02109936449019E-2</v>
      </c>
      <c r="N41" s="29">
        <f t="shared" si="25"/>
        <v>1.9313669193829552E-2</v>
      </c>
      <c r="O41" s="29">
        <f t="shared" si="26"/>
        <v>1.3313669193829552E-2</v>
      </c>
      <c r="P41" s="28">
        <f t="shared" si="27"/>
        <v>0.52223301365189956</v>
      </c>
      <c r="Q41" s="28">
        <f t="shared" si="28"/>
        <v>-0.4200207300447571</v>
      </c>
      <c r="R41" s="28">
        <f t="shared" si="29"/>
        <v>2.2666931374339838E-2</v>
      </c>
      <c r="S41" s="28">
        <f t="shared" si="30"/>
        <v>1.2565165723317708</v>
      </c>
      <c r="T41" s="28">
        <f t="shared" si="31"/>
        <v>-1.8845975692804913</v>
      </c>
      <c r="U41" s="28">
        <f t="shared" si="32"/>
        <v>-0.65074792832306061</v>
      </c>
      <c r="V41" s="28">
        <f t="shared" si="33"/>
        <v>499.6091923627464</v>
      </c>
      <c r="W41" s="28">
        <f t="shared" si="34"/>
        <v>269.64101062143845</v>
      </c>
      <c r="X41" s="28">
        <f t="shared" si="35"/>
        <v>-4.8667850942057811</v>
      </c>
      <c r="Y41" s="28">
        <f t="shared" si="36"/>
        <v>107.16499292325682</v>
      </c>
      <c r="Z41" s="28">
        <f t="shared" si="37"/>
        <v>117.93640372384533</v>
      </c>
      <c r="AA41" s="28">
        <f t="shared" si="38"/>
        <v>1438.0962503631731</v>
      </c>
      <c r="AB41" s="32">
        <f t="shared" si="39"/>
        <v>1556.0326540870185</v>
      </c>
      <c r="AC41" s="22">
        <f>INDEX(Data_Cert!$E$4:$E$195,MATCH($A41,Data_Cert!$A$4:$A$195,0))</f>
        <v>1630.93</v>
      </c>
      <c r="AD41" s="22">
        <f t="shared" si="40"/>
        <v>-74.897345912981564</v>
      </c>
      <c r="AE41" s="23">
        <f t="shared" si="41"/>
        <v>-4.5923090453288344E-2</v>
      </c>
      <c r="AF41" s="36">
        <f>Data_Stock!D41</f>
        <v>1565.23</v>
      </c>
    </row>
    <row r="42" spans="1:32" x14ac:dyDescent="0.2">
      <c r="A42" s="35">
        <f>Data_Stock!A42</f>
        <v>45959</v>
      </c>
      <c r="B42" s="36">
        <f>Data_Stock!B42</f>
        <v>1713.87</v>
      </c>
      <c r="C42" s="37">
        <f>Data_Stock!C42</f>
        <v>0.39700000000000002</v>
      </c>
      <c r="D42" s="38">
        <f t="shared" si="21"/>
        <v>1.6356164383561644</v>
      </c>
      <c r="E42" s="28">
        <f>INDEX(Data_Svensson!$B$4:$B$202,MATCH($A42,Data_Svensson!$A$4:$A$202,1))</f>
        <v>1.1330199999999999</v>
      </c>
      <c r="F42" s="28">
        <f>INDEX(Data_Svensson!$C$4:$C$202,MATCH($A42,Data_Svensson!$A$4:$A$202,1))</f>
        <v>0.77561999999999998</v>
      </c>
      <c r="G42" s="28">
        <f>INDEX(Data_Svensson!$D$4:$D$202,MATCH($A42,Data_Svensson!$A$4:$A$202,1))</f>
        <v>-1.6902919999999999</v>
      </c>
      <c r="H42" s="28">
        <f>INDEX(Data_Svensson!$E$4:$E$202,MATCH($A42,Data_Svensson!$A$4:$A$202,1))</f>
        <v>7.4117540000000002</v>
      </c>
      <c r="I42" s="28">
        <f>INDEX(Data_Svensson!$F$4:$F$202,MATCH($A42,Data_Svensson!$A$4:$A$202,1))</f>
        <v>3.7026859999999999</v>
      </c>
      <c r="J42" s="28">
        <f>INDEX(Data_Svensson!$G$4:$G$202,MATCH($A42,Data_Svensson!$A$4:$A$202,1))</f>
        <v>12.487306999999999</v>
      </c>
      <c r="K42" s="28">
        <f t="shared" si="22"/>
        <v>0.80835692652605651</v>
      </c>
      <c r="L42" s="28">
        <f t="shared" si="23"/>
        <v>0.16543875228311078</v>
      </c>
      <c r="M42" s="28">
        <f t="shared" si="24"/>
        <v>6.0043718594263273E-2</v>
      </c>
      <c r="N42" s="29">
        <f t="shared" si="25"/>
        <v>1.9253872713439212E-2</v>
      </c>
      <c r="O42" s="29">
        <f t="shared" si="26"/>
        <v>1.3253872713439212E-2</v>
      </c>
      <c r="P42" s="28">
        <f t="shared" si="27"/>
        <v>0.50772814697717594</v>
      </c>
      <c r="Q42" s="28">
        <f t="shared" si="28"/>
        <v>-0.4159066251709026</v>
      </c>
      <c r="R42" s="28">
        <f t="shared" si="29"/>
        <v>-7.5257232821677733E-3</v>
      </c>
      <c r="S42" s="28">
        <f t="shared" si="30"/>
        <v>1.2615727504321119</v>
      </c>
      <c r="T42" s="28">
        <f t="shared" si="31"/>
        <v>-1.9375499304191464</v>
      </c>
      <c r="U42" s="28">
        <f t="shared" si="32"/>
        <v>-0.66845145670486628</v>
      </c>
      <c r="V42" s="28">
        <f t="shared" si="33"/>
        <v>496.75854958699824</v>
      </c>
      <c r="W42" s="28">
        <f t="shared" si="34"/>
        <v>261.22247267200021</v>
      </c>
      <c r="X42" s="28">
        <f t="shared" si="35"/>
        <v>-4.1375939707578446</v>
      </c>
      <c r="Y42" s="28">
        <f t="shared" si="36"/>
        <v>107.65977004534457</v>
      </c>
      <c r="Z42" s="28">
        <f t="shared" si="37"/>
        <v>123.73871289889561</v>
      </c>
      <c r="AA42" s="28">
        <f t="shared" si="38"/>
        <v>1441.2389627575897</v>
      </c>
      <c r="AB42" s="32">
        <f t="shared" si="39"/>
        <v>1564.9776756564852</v>
      </c>
      <c r="AC42" s="22">
        <f>INDEX(Data_Cert!$E$4:$E$195,MATCH($A42,Data_Cert!$A$4:$A$195,0))</f>
        <v>1627.57</v>
      </c>
      <c r="AD42" s="22">
        <f t="shared" si="40"/>
        <v>-62.592324343514747</v>
      </c>
      <c r="AE42" s="23">
        <f t="shared" si="41"/>
        <v>-3.8457531377154131E-2</v>
      </c>
      <c r="AF42" s="36">
        <f>Data_Stock!D42</f>
        <v>1571.07</v>
      </c>
    </row>
    <row r="43" spans="1:32" x14ac:dyDescent="0.2">
      <c r="A43" s="35">
        <f>Data_Stock!A43</f>
        <v>45960</v>
      </c>
      <c r="B43" s="36">
        <f>Data_Stock!B43</f>
        <v>1688.13</v>
      </c>
      <c r="C43" s="37">
        <f>Data_Stock!C43</f>
        <v>0.38900000000000001</v>
      </c>
      <c r="D43" s="38">
        <f t="shared" si="21"/>
        <v>1.6328767123287671</v>
      </c>
      <c r="E43" s="28">
        <f>INDEX(Data_Svensson!$B$4:$B$202,MATCH($A43,Data_Svensson!$A$4:$A$202,1))</f>
        <v>1.1404350000000001</v>
      </c>
      <c r="F43" s="28">
        <f>INDEX(Data_Svensson!$C$4:$C$202,MATCH($A43,Data_Svensson!$A$4:$A$202,1))</f>
        <v>0.77693699999999999</v>
      </c>
      <c r="G43" s="28">
        <f>INDEX(Data_Svensson!$D$4:$D$202,MATCH($A43,Data_Svensson!$A$4:$A$202,1))</f>
        <v>-1.4099139999999999</v>
      </c>
      <c r="H43" s="28">
        <f>INDEX(Data_Svensson!$E$4:$E$202,MATCH($A43,Data_Svensson!$A$4:$A$202,1))</f>
        <v>7.2270760000000003</v>
      </c>
      <c r="I43" s="28">
        <f>INDEX(Data_Svensson!$F$4:$F$202,MATCH($A43,Data_Svensson!$A$4:$A$202,1))</f>
        <v>3.5538080000000001</v>
      </c>
      <c r="J43" s="28">
        <f>INDEX(Data_Svensson!$G$4:$G$202,MATCH($A43,Data_Svensson!$A$4:$A$202,1))</f>
        <v>12.857962000000001</v>
      </c>
      <c r="K43" s="28">
        <f t="shared" si="22"/>
        <v>0.80175261960830102</v>
      </c>
      <c r="L43" s="28">
        <f t="shared" si="23"/>
        <v>0.17013582478060607</v>
      </c>
      <c r="M43" s="28">
        <f t="shared" si="24"/>
        <v>5.8368501324808753E-2</v>
      </c>
      <c r="N43" s="29">
        <f t="shared" si="25"/>
        <v>1.9453029888413846E-2</v>
      </c>
      <c r="O43" s="29">
        <f t="shared" si="26"/>
        <v>1.3453029888413846E-2</v>
      </c>
      <c r="P43" s="28">
        <f t="shared" si="27"/>
        <v>0.49708001064848845</v>
      </c>
      <c r="Q43" s="28">
        <f t="shared" si="28"/>
        <v>-0.41109608125498875</v>
      </c>
      <c r="R43" s="28">
        <f t="shared" si="29"/>
        <v>-4.8310865275148496E-2</v>
      </c>
      <c r="S43" s="28">
        <f t="shared" si="30"/>
        <v>1.2479734402431681</v>
      </c>
      <c r="T43" s="28">
        <f t="shared" si="31"/>
        <v>-1.9587930133600713</v>
      </c>
      <c r="U43" s="28">
        <f t="shared" si="32"/>
        <v>-0.66250870784175475</v>
      </c>
      <c r="V43" s="28">
        <f t="shared" si="33"/>
        <v>502.2483017869306</v>
      </c>
      <c r="W43" s="28">
        <f t="shared" si="34"/>
        <v>261.33121961994567</v>
      </c>
      <c r="X43" s="28">
        <f t="shared" si="35"/>
        <v>-3.837997671290502</v>
      </c>
      <c r="Y43" s="28">
        <f t="shared" si="36"/>
        <v>109.88070512098207</v>
      </c>
      <c r="Z43" s="28">
        <f t="shared" si="37"/>
        <v>127.19837937471235</v>
      </c>
      <c r="AA43" s="28">
        <f t="shared" si="38"/>
        <v>1435.2212774264017</v>
      </c>
      <c r="AB43" s="32">
        <f t="shared" si="39"/>
        <v>1562.4196568011141</v>
      </c>
      <c r="AC43" s="22">
        <f>INDEX(Data_Cert!$E$4:$E$195,MATCH($A43,Data_Cert!$A$4:$A$195,0))</f>
        <v>1620.9</v>
      </c>
      <c r="AD43" s="22">
        <f t="shared" si="40"/>
        <v>-58.480343198885976</v>
      </c>
      <c r="AE43" s="23">
        <f t="shared" si="41"/>
        <v>-3.6078933431356638E-2</v>
      </c>
      <c r="AF43" s="36">
        <f>Data_Stock!D43</f>
        <v>1571.17</v>
      </c>
    </row>
    <row r="44" spans="1:32" x14ac:dyDescent="0.2">
      <c r="A44" s="35">
        <f>Data_Stock!A44</f>
        <v>45964</v>
      </c>
      <c r="B44" s="36">
        <f>Data_Stock!B44</f>
        <v>1755.95</v>
      </c>
      <c r="C44" s="37">
        <f>Data_Stock!C44</f>
        <v>0.4</v>
      </c>
      <c r="D44" s="38">
        <f t="shared" si="21"/>
        <v>1.6219178082191781</v>
      </c>
      <c r="E44" s="28">
        <f>INDEX(Data_Svensson!$B$4:$B$202,MATCH($A44,Data_Svensson!$A$4:$A$202,1))</f>
        <v>1.108662</v>
      </c>
      <c r="F44" s="28">
        <f>INDEX(Data_Svensson!$C$4:$C$202,MATCH($A44,Data_Svensson!$A$4:$A$202,1))</f>
        <v>0.78851899999999997</v>
      </c>
      <c r="G44" s="28">
        <f>INDEX(Data_Svensson!$D$4:$D$202,MATCH($A44,Data_Svensson!$A$4:$A$202,1))</f>
        <v>-1.0665290000000001</v>
      </c>
      <c r="H44" s="28">
        <f>INDEX(Data_Svensson!$E$4:$E$202,MATCH($A44,Data_Svensson!$A$4:$A$202,1))</f>
        <v>7.2500280000000004</v>
      </c>
      <c r="I44" s="28">
        <f>INDEX(Data_Svensson!$F$4:$F$202,MATCH($A44,Data_Svensson!$A$4:$A$202,1))</f>
        <v>3.249984</v>
      </c>
      <c r="J44" s="28">
        <f>INDEX(Data_Svensson!$G$4:$G$202,MATCH($A44,Data_Svensson!$A$4:$A$202,1))</f>
        <v>13.626367999999999</v>
      </c>
      <c r="K44" s="28">
        <f t="shared" si="22"/>
        <v>0.78728008302204788</v>
      </c>
      <c r="L44" s="28">
        <f t="shared" si="23"/>
        <v>0.18017542857135904</v>
      </c>
      <c r="M44" s="28">
        <f t="shared" si="24"/>
        <v>5.4995662945391821E-2</v>
      </c>
      <c r="N44" s="29">
        <f t="shared" si="25"/>
        <v>1.9360050803583325E-2</v>
      </c>
      <c r="O44" s="29">
        <f t="shared" si="26"/>
        <v>1.3360050803583325E-2</v>
      </c>
      <c r="P44" s="28">
        <f t="shared" si="27"/>
        <v>0.50941814780695482</v>
      </c>
      <c r="Q44" s="28">
        <f t="shared" si="28"/>
        <v>-0.41649968247760427</v>
      </c>
      <c r="R44" s="28">
        <f t="shared" si="29"/>
        <v>4.1783296315030416E-2</v>
      </c>
      <c r="S44" s="28">
        <f t="shared" si="30"/>
        <v>1.3066715205851518</v>
      </c>
      <c r="T44" s="28">
        <f t="shared" si="31"/>
        <v>-1.9770684428612149</v>
      </c>
      <c r="U44" s="28">
        <f t="shared" si="32"/>
        <v>-0.71218021859109393</v>
      </c>
      <c r="V44" s="28">
        <f t="shared" si="33"/>
        <v>477.42045995479714</v>
      </c>
      <c r="W44" s="28">
        <f t="shared" si="34"/>
        <v>245.80547385247306</v>
      </c>
      <c r="X44" s="28">
        <f t="shared" si="35"/>
        <v>-3.7309494021606149</v>
      </c>
      <c r="Y44" s="28">
        <f t="shared" si="36"/>
        <v>102.68275298952642</v>
      </c>
      <c r="Z44" s="28">
        <f t="shared" si="37"/>
        <v>125.20128371063706</v>
      </c>
      <c r="AA44" s="28">
        <f t="shared" si="38"/>
        <v>1460.7544639217135</v>
      </c>
      <c r="AB44" s="32">
        <f t="shared" si="39"/>
        <v>1585.9557476323505</v>
      </c>
      <c r="AC44" s="22">
        <f>INDEX(Data_Cert!$E$4:$E$195,MATCH($A44,Data_Cert!$A$4:$A$195,0))</f>
        <v>1660.86</v>
      </c>
      <c r="AD44" s="22">
        <f t="shared" si="40"/>
        <v>-74.904252367649406</v>
      </c>
      <c r="AE44" s="23">
        <f t="shared" si="41"/>
        <v>-4.5099678701184573E-2</v>
      </c>
      <c r="AF44" s="36">
        <f>Data_Stock!D44</f>
        <v>1600.83</v>
      </c>
    </row>
    <row r="45" spans="1:32" x14ac:dyDescent="0.2">
      <c r="A45" s="35">
        <f>Data_Stock!A45</f>
        <v>45965</v>
      </c>
      <c r="B45" s="36">
        <f>Data_Stock!B45</f>
        <v>1711.89</v>
      </c>
      <c r="C45" s="37">
        <f>Data_Stock!C45</f>
        <v>0.4</v>
      </c>
      <c r="D45" s="38">
        <f t="shared" si="21"/>
        <v>1.6191780821917807</v>
      </c>
      <c r="E45" s="28">
        <f>INDEX(Data_Svensson!$B$4:$B$202,MATCH($A45,Data_Svensson!$A$4:$A$202,1))</f>
        <v>1.1166910000000001</v>
      </c>
      <c r="F45" s="28">
        <f>INDEX(Data_Svensson!$C$4:$C$202,MATCH($A45,Data_Svensson!$A$4:$A$202,1))</f>
        <v>0.78027299999999999</v>
      </c>
      <c r="G45" s="28">
        <f>INDEX(Data_Svensson!$D$4:$D$202,MATCH($A45,Data_Svensson!$A$4:$A$202,1))</f>
        <v>-1.100041</v>
      </c>
      <c r="H45" s="28">
        <f>INDEX(Data_Svensson!$E$4:$E$202,MATCH($A45,Data_Svensson!$A$4:$A$202,1))</f>
        <v>7.2561559999999998</v>
      </c>
      <c r="I45" s="28">
        <f>INDEX(Data_Svensson!$F$4:$F$202,MATCH($A45,Data_Svensson!$A$4:$A$202,1))</f>
        <v>3.2410890000000001</v>
      </c>
      <c r="J45" s="28">
        <f>INDEX(Data_Svensson!$G$4:$G$202,MATCH($A45,Data_Svensson!$A$4:$A$202,1))</f>
        <v>13.632654</v>
      </c>
      <c r="K45" s="28">
        <f t="shared" si="22"/>
        <v>0.78709081826003302</v>
      </c>
      <c r="L45" s="28">
        <f t="shared" si="23"/>
        <v>0.18030439604856019</v>
      </c>
      <c r="M45" s="28">
        <f t="shared" si="24"/>
        <v>5.488671689780289E-2</v>
      </c>
      <c r="N45" s="29">
        <f t="shared" si="25"/>
        <v>1.9307610660408505E-2</v>
      </c>
      <c r="O45" s="29">
        <f t="shared" si="26"/>
        <v>1.3307610660408505E-2</v>
      </c>
      <c r="P45" s="28">
        <f t="shared" si="27"/>
        <v>0.50898771414513033</v>
      </c>
      <c r="Q45" s="28">
        <f t="shared" si="28"/>
        <v>-0.41682743337244688</v>
      </c>
      <c r="R45" s="28">
        <f t="shared" si="29"/>
        <v>-8.7772632500552339E-3</v>
      </c>
      <c r="S45" s="28">
        <f t="shared" si="30"/>
        <v>1.2571806341281599</v>
      </c>
      <c r="T45" s="28">
        <f t="shared" si="31"/>
        <v>-1.9294831882265615</v>
      </c>
      <c r="U45" s="28">
        <f t="shared" si="32"/>
        <v>-0.66352529084834611</v>
      </c>
      <c r="V45" s="28">
        <f t="shared" si="33"/>
        <v>498.82357324381815</v>
      </c>
      <c r="W45" s="28">
        <f t="shared" si="34"/>
        <v>263.46093230519671</v>
      </c>
      <c r="X45" s="28">
        <f t="shared" si="35"/>
        <v>-4.2386657861214303</v>
      </c>
      <c r="Y45" s="28">
        <f t="shared" si="36"/>
        <v>108.05980974576113</v>
      </c>
      <c r="Z45" s="28">
        <f t="shared" si="37"/>
        <v>123.06416540673888</v>
      </c>
      <c r="AA45" s="28">
        <f t="shared" si="38"/>
        <v>1439.6187425655405</v>
      </c>
      <c r="AB45" s="32">
        <f t="shared" si="39"/>
        <v>1562.6829079722793</v>
      </c>
      <c r="AC45" s="22">
        <f>INDEX(Data_Cert!$E$4:$E$195,MATCH($A45,Data_Cert!$A$4:$A$195,0))</f>
        <v>1647.49</v>
      </c>
      <c r="AD45" s="22">
        <f t="shared" si="40"/>
        <v>-84.807092027720728</v>
      </c>
      <c r="AE45" s="23">
        <f t="shared" si="41"/>
        <v>-5.147654433575969E-2</v>
      </c>
      <c r="AF45" s="36">
        <f>Data_Stock!D45</f>
        <v>1569.94</v>
      </c>
    </row>
    <row r="46" spans="1:32" x14ac:dyDescent="0.2">
      <c r="A46" s="35">
        <f>Data_Stock!A46</f>
        <v>45966</v>
      </c>
      <c r="B46" s="36">
        <f>Data_Stock!B46</f>
        <v>1690.11</v>
      </c>
      <c r="C46" s="37">
        <f>Data_Stock!C46</f>
        <v>0.39100000000000001</v>
      </c>
      <c r="D46" s="38">
        <f t="shared" si="21"/>
        <v>1.6164383561643836</v>
      </c>
      <c r="E46" s="28">
        <f>INDEX(Data_Svensson!$B$4:$B$202,MATCH($A46,Data_Svensson!$A$4:$A$202,1))</f>
        <v>1.1110519999999999</v>
      </c>
      <c r="F46" s="28">
        <f>INDEX(Data_Svensson!$C$4:$C$202,MATCH($A46,Data_Svensson!$A$4:$A$202,1))</f>
        <v>0.77452600000000005</v>
      </c>
      <c r="G46" s="28">
        <f>INDEX(Data_Svensson!$D$4:$D$202,MATCH($A46,Data_Svensson!$A$4:$A$202,1))</f>
        <v>-1.1815279999999999</v>
      </c>
      <c r="H46" s="28">
        <f>INDEX(Data_Svensson!$E$4:$E$202,MATCH($A46,Data_Svensson!$A$4:$A$202,1))</f>
        <v>7.3309759999999997</v>
      </c>
      <c r="I46" s="28">
        <f>INDEX(Data_Svensson!$F$4:$F$202,MATCH($A46,Data_Svensson!$A$4:$A$202,1))</f>
        <v>3.362555</v>
      </c>
      <c r="J46" s="28">
        <f>INDEX(Data_Svensson!$G$4:$G$202,MATCH($A46,Data_Svensson!$A$4:$A$202,1))</f>
        <v>13.332126000000001</v>
      </c>
      <c r="K46" s="28">
        <f t="shared" si="22"/>
        <v>0.79393918755950432</v>
      </c>
      <c r="L46" s="28">
        <f t="shared" si="23"/>
        <v>0.17559948909603573</v>
      </c>
      <c r="M46" s="28">
        <f t="shared" si="24"/>
        <v>5.5937665357768673E-2</v>
      </c>
      <c r="N46" s="29">
        <f t="shared" si="25"/>
        <v>1.9285805122648852E-2</v>
      </c>
      <c r="O46" s="29">
        <f t="shared" si="26"/>
        <v>1.3285805122648852E-2</v>
      </c>
      <c r="P46" s="28">
        <f t="shared" si="27"/>
        <v>0.49711438555805959</v>
      </c>
      <c r="Q46" s="28">
        <f t="shared" si="28"/>
        <v>-0.41309708124195388</v>
      </c>
      <c r="R46" s="28">
        <f t="shared" si="29"/>
        <v>-4.6903739875510775E-2</v>
      </c>
      <c r="S46" s="28">
        <f t="shared" si="30"/>
        <v>1.2492909290177652</v>
      </c>
      <c r="T46" s="28">
        <f t="shared" si="31"/>
        <v>-1.961969830229765</v>
      </c>
      <c r="U46" s="28">
        <f t="shared" si="32"/>
        <v>-0.66577516133648929</v>
      </c>
      <c r="V46" s="28">
        <f t="shared" si="33"/>
        <v>501.97652449197892</v>
      </c>
      <c r="W46" s="28">
        <f t="shared" si="34"/>
        <v>261.01997275454158</v>
      </c>
      <c r="X46" s="28">
        <f t="shared" si="35"/>
        <v>-3.8134090297533554</v>
      </c>
      <c r="Y46" s="28">
        <f t="shared" si="36"/>
        <v>109.73905155416622</v>
      </c>
      <c r="Z46" s="28">
        <f t="shared" si="37"/>
        <v>127.40409115351775</v>
      </c>
      <c r="AA46" s="28">
        <f t="shared" si="38"/>
        <v>1436.6366625959758</v>
      </c>
      <c r="AB46" s="32">
        <f t="shared" si="39"/>
        <v>1564.0407537494937</v>
      </c>
      <c r="AC46" s="22">
        <f>INDEX(Data_Cert!$E$4:$E$195,MATCH($A46,Data_Cert!$A$4:$A$195,0))</f>
        <v>1638.03</v>
      </c>
      <c r="AD46" s="22">
        <f t="shared" si="40"/>
        <v>-73.989246250506312</v>
      </c>
      <c r="AE46" s="23">
        <f t="shared" si="41"/>
        <v>-4.5169652723397201E-2</v>
      </c>
      <c r="AF46" s="36">
        <f>Data_Stock!D46</f>
        <v>1572.21</v>
      </c>
    </row>
    <row r="47" spans="1:32" x14ac:dyDescent="0.2">
      <c r="A47" s="35">
        <f>Data_Stock!A47</f>
        <v>45967</v>
      </c>
      <c r="B47" s="36">
        <f>Data_Stock!B47</f>
        <v>1691.1</v>
      </c>
      <c r="C47" s="37">
        <f>Data_Stock!C47</f>
        <v>0.379</v>
      </c>
      <c r="D47" s="38">
        <f t="shared" si="21"/>
        <v>1.6136986301369862</v>
      </c>
      <c r="E47" s="28">
        <f>INDEX(Data_Svensson!$B$4:$B$202,MATCH($A47,Data_Svensson!$A$4:$A$202,1))</f>
        <v>1.1190800000000001</v>
      </c>
      <c r="F47" s="28">
        <f>INDEX(Data_Svensson!$C$4:$C$202,MATCH($A47,Data_Svensson!$A$4:$A$202,1))</f>
        <v>0.78482700000000005</v>
      </c>
      <c r="G47" s="28">
        <f>INDEX(Data_Svensson!$D$4:$D$202,MATCH($A47,Data_Svensson!$A$4:$A$202,1))</f>
        <v>-1.0886769999999999</v>
      </c>
      <c r="H47" s="28">
        <f>INDEX(Data_Svensson!$E$4:$E$202,MATCH($A47,Data_Svensson!$A$4:$A$202,1))</f>
        <v>7.258089</v>
      </c>
      <c r="I47" s="28">
        <f>INDEX(Data_Svensson!$F$4:$F$202,MATCH($A47,Data_Svensson!$A$4:$A$202,1))</f>
        <v>3.2446969999999999</v>
      </c>
      <c r="J47" s="28">
        <f>INDEX(Data_Svensson!$G$4:$G$202,MATCH($A47,Data_Svensson!$A$4:$A$202,1))</f>
        <v>13.623220999999999</v>
      </c>
      <c r="K47" s="28">
        <f t="shared" si="22"/>
        <v>0.78790137992094256</v>
      </c>
      <c r="L47" s="28">
        <f t="shared" si="23"/>
        <v>0.17975164435594715</v>
      </c>
      <c r="M47" s="28">
        <f t="shared" si="24"/>
        <v>5.4750412704744233E-2</v>
      </c>
      <c r="N47" s="29">
        <f t="shared" si="25"/>
        <v>1.9391381635744786E-2</v>
      </c>
      <c r="O47" s="29">
        <f t="shared" si="26"/>
        <v>1.3391381635744786E-2</v>
      </c>
      <c r="P47" s="28">
        <f t="shared" si="27"/>
        <v>0.48144915093030005</v>
      </c>
      <c r="Q47" s="28">
        <f t="shared" si="28"/>
        <v>-0.40677187129200726</v>
      </c>
      <c r="R47" s="28">
        <f t="shared" si="29"/>
        <v>-6.285540032830611E-2</v>
      </c>
      <c r="S47" s="28">
        <f t="shared" si="30"/>
        <v>1.275514425738326</v>
      </c>
      <c r="T47" s="28">
        <f t="shared" si="31"/>
        <v>-2.04266589405609</v>
      </c>
      <c r="U47" s="28">
        <f t="shared" si="32"/>
        <v>-0.70429606798945832</v>
      </c>
      <c r="V47" s="28">
        <f t="shared" si="33"/>
        <v>490.84170299236041</v>
      </c>
      <c r="W47" s="28">
        <f t="shared" si="34"/>
        <v>244.73596817679226</v>
      </c>
      <c r="X47" s="28">
        <f t="shared" si="35"/>
        <v>-2.9796608826246178</v>
      </c>
      <c r="Y47" s="28">
        <f t="shared" si="36"/>
        <v>107.72107716443116</v>
      </c>
      <c r="Z47" s="28">
        <f t="shared" si="37"/>
        <v>135.40499676851238</v>
      </c>
      <c r="AA47" s="28">
        <f t="shared" si="38"/>
        <v>1447.5436506244218</v>
      </c>
      <c r="AB47" s="32">
        <f t="shared" si="39"/>
        <v>1582.9486473929342</v>
      </c>
      <c r="AC47" s="22">
        <f>INDEX(Data_Cert!$E$4:$E$195,MATCH($A47,Data_Cert!$A$4:$A$195,0))</f>
        <v>1643.37</v>
      </c>
      <c r="AD47" s="22">
        <f t="shared" si="40"/>
        <v>-60.421352607065728</v>
      </c>
      <c r="AE47" s="23">
        <f t="shared" si="41"/>
        <v>-3.6766737014224268E-2</v>
      </c>
      <c r="AF47" s="36">
        <f>Data_Stock!D47</f>
        <v>1581.58</v>
      </c>
    </row>
    <row r="48" spans="1:32" x14ac:dyDescent="0.2">
      <c r="A48" s="35">
        <f>Data_Stock!A48</f>
        <v>45968</v>
      </c>
      <c r="B48" s="36">
        <f>Data_Stock!B48</f>
        <v>1731.69</v>
      </c>
      <c r="C48" s="37">
        <f>Data_Stock!C48</f>
        <v>0.379</v>
      </c>
      <c r="D48" s="38">
        <f t="shared" si="21"/>
        <v>1.6109589041095891</v>
      </c>
      <c r="E48" s="28">
        <f>INDEX(Data_Svensson!$B$4:$B$202,MATCH($A48,Data_Svensson!$A$4:$A$202,1))</f>
        <v>1.1233310000000001</v>
      </c>
      <c r="F48" s="28">
        <f>INDEX(Data_Svensson!$C$4:$C$202,MATCH($A48,Data_Svensson!$A$4:$A$202,1))</f>
        <v>0.79576499999999994</v>
      </c>
      <c r="G48" s="28">
        <f>INDEX(Data_Svensson!$D$4:$D$202,MATCH($A48,Data_Svensson!$A$4:$A$202,1))</f>
        <v>-1.7813699999999999</v>
      </c>
      <c r="H48" s="28">
        <f>INDEX(Data_Svensson!$E$4:$E$202,MATCH($A48,Data_Svensson!$A$4:$A$202,1))</f>
        <v>7.7518079999999996</v>
      </c>
      <c r="I48" s="28">
        <f>INDEX(Data_Svensson!$F$4:$F$202,MATCH($A48,Data_Svensson!$A$4:$A$202,1))</f>
        <v>3.8884660000000002</v>
      </c>
      <c r="J48" s="28">
        <f>INDEX(Data_Svensson!$G$4:$G$202,MATCH($A48,Data_Svensson!$A$4:$A$202,1))</f>
        <v>12.584448999999999</v>
      </c>
      <c r="K48" s="28">
        <f t="shared" si="22"/>
        <v>0.81872710986971253</v>
      </c>
      <c r="L48" s="28">
        <f t="shared" si="23"/>
        <v>0.1579188959572142</v>
      </c>
      <c r="M48" s="28">
        <f t="shared" si="24"/>
        <v>5.8797089886391096E-2</v>
      </c>
      <c r="N48" s="29">
        <f t="shared" si="25"/>
        <v>1.9493171466522147E-2</v>
      </c>
      <c r="O48" s="29">
        <f t="shared" si="26"/>
        <v>1.3493171466522147E-2</v>
      </c>
      <c r="P48" s="28">
        <f t="shared" si="27"/>
        <v>0.48104027684301598</v>
      </c>
      <c r="Q48" s="28">
        <f t="shared" si="28"/>
        <v>-0.40606323078701662</v>
      </c>
      <c r="R48" s="28">
        <f t="shared" si="29"/>
        <v>-1.3746357425746314E-2</v>
      </c>
      <c r="S48" s="28">
        <f t="shared" si="30"/>
        <v>1.3257610547587735</v>
      </c>
      <c r="T48" s="28">
        <f t="shared" si="31"/>
        <v>-2.0938534511643736</v>
      </c>
      <c r="U48" s="28">
        <f t="shared" si="32"/>
        <v>-0.75434603897985353</v>
      </c>
      <c r="V48" s="28">
        <f t="shared" si="33"/>
        <v>469.68888794727911</v>
      </c>
      <c r="W48" s="28">
        <f t="shared" si="34"/>
        <v>227.38350804260736</v>
      </c>
      <c r="X48" s="28">
        <f t="shared" si="35"/>
        <v>-2.5801534467091667</v>
      </c>
      <c r="Y48" s="28">
        <f t="shared" si="36"/>
        <v>101.95870731661091</v>
      </c>
      <c r="Z48" s="28">
        <f t="shared" si="37"/>
        <v>137.76651914135167</v>
      </c>
      <c r="AA48" s="28">
        <f t="shared" si="38"/>
        <v>1468.4816033728875</v>
      </c>
      <c r="AB48" s="32">
        <f t="shared" si="39"/>
        <v>1606.2481225142392</v>
      </c>
      <c r="AC48" s="22">
        <f>INDEX(Data_Cert!$E$4:$E$195,MATCH($A48,Data_Cert!$A$4:$A$195,0))</f>
        <v>1661.52</v>
      </c>
      <c r="AD48" s="22">
        <f t="shared" si="40"/>
        <v>-55.271877485760797</v>
      </c>
      <c r="AE48" s="23">
        <f t="shared" si="41"/>
        <v>-3.3265851440705374E-2</v>
      </c>
      <c r="AF48" s="36">
        <f>Data_Stock!D48</f>
        <v>1612.26</v>
      </c>
    </row>
    <row r="49" spans="1:32" x14ac:dyDescent="0.2">
      <c r="A49" s="35">
        <f>Data_Stock!A49</f>
        <v>45971</v>
      </c>
      <c r="B49" s="36">
        <f>Data_Stock!B49</f>
        <v>1769.31</v>
      </c>
      <c r="C49" s="37">
        <f>Data_Stock!C49</f>
        <v>0.377</v>
      </c>
      <c r="D49" s="38">
        <f t="shared" si="21"/>
        <v>1.6027397260273972</v>
      </c>
      <c r="E49" s="28">
        <f>INDEX(Data_Svensson!$B$4:$B$202,MATCH($A49,Data_Svensson!$A$4:$A$202,1))</f>
        <v>1.134436</v>
      </c>
      <c r="F49" s="28">
        <f>INDEX(Data_Svensson!$C$4:$C$202,MATCH($A49,Data_Svensson!$A$4:$A$202,1))</f>
        <v>0.79760600000000004</v>
      </c>
      <c r="G49" s="28">
        <f>INDEX(Data_Svensson!$D$4:$D$202,MATCH($A49,Data_Svensson!$A$4:$A$202,1))</f>
        <v>-1.3024530000000001</v>
      </c>
      <c r="H49" s="28">
        <f>INDEX(Data_Svensson!$E$4:$E$202,MATCH($A49,Data_Svensson!$A$4:$A$202,1))</f>
        <v>7.3667879999999997</v>
      </c>
      <c r="I49" s="28">
        <f>INDEX(Data_Svensson!$F$4:$F$202,MATCH($A49,Data_Svensson!$A$4:$A$202,1))</f>
        <v>3.3210929999999999</v>
      </c>
      <c r="J49" s="28">
        <f>INDEX(Data_Svensson!$G$4:$G$202,MATCH($A49,Data_Svensson!$A$4:$A$202,1))</f>
        <v>13.254163999999999</v>
      </c>
      <c r="K49" s="28">
        <f t="shared" si="22"/>
        <v>0.79325404628044283</v>
      </c>
      <c r="L49" s="28">
        <f t="shared" si="23"/>
        <v>0.17607373028376383</v>
      </c>
      <c r="M49" s="28">
        <f t="shared" si="24"/>
        <v>5.5801654156070413E-2</v>
      </c>
      <c r="N49" s="29">
        <f t="shared" si="25"/>
        <v>1.9488913848253697E-2</v>
      </c>
      <c r="O49" s="29">
        <f t="shared" si="26"/>
        <v>1.3488913848253696E-2</v>
      </c>
      <c r="P49" s="28">
        <f t="shared" si="27"/>
        <v>0.47727957689445288</v>
      </c>
      <c r="Q49" s="28">
        <f t="shared" si="28"/>
        <v>-0.40509386649977347</v>
      </c>
      <c r="R49" s="28">
        <f t="shared" si="29"/>
        <v>2.7153005254925033E-2</v>
      </c>
      <c r="S49" s="28">
        <f t="shared" si="30"/>
        <v>1.3772149973962911</v>
      </c>
      <c r="T49" s="28">
        <f t="shared" si="31"/>
        <v>-2.1594038941598508</v>
      </c>
      <c r="U49" s="28">
        <f t="shared" si="32"/>
        <v>-0.80934190201848466</v>
      </c>
      <c r="V49" s="28">
        <f t="shared" si="33"/>
        <v>448.73672082633288</v>
      </c>
      <c r="W49" s="28">
        <f t="shared" si="34"/>
        <v>209.24254212590481</v>
      </c>
      <c r="X49" s="28">
        <f t="shared" si="35"/>
        <v>-2.1297055005679759</v>
      </c>
      <c r="Y49" s="28">
        <f t="shared" si="36"/>
        <v>96.217357160565115</v>
      </c>
      <c r="Z49" s="28">
        <f t="shared" si="37"/>
        <v>141.14711603929499</v>
      </c>
      <c r="AA49" s="28">
        <f t="shared" si="38"/>
        <v>1489.7575528325319</v>
      </c>
      <c r="AB49" s="32">
        <f t="shared" si="39"/>
        <v>1630.904668871827</v>
      </c>
      <c r="AC49" s="22">
        <f>INDEX(Data_Cert!$E$4:$E$195,MATCH($A49,Data_Cert!$A$4:$A$195,0))</f>
        <v>1681.2</v>
      </c>
      <c r="AD49" s="22">
        <f t="shared" si="40"/>
        <v>-50.295331128173075</v>
      </c>
      <c r="AE49" s="23">
        <f t="shared" si="41"/>
        <v>-2.9916328294178608E-2</v>
      </c>
      <c r="AF49" s="36">
        <f>Data_Stock!D49</f>
        <v>1640.44</v>
      </c>
    </row>
    <row r="50" spans="1:32" x14ac:dyDescent="0.2">
      <c r="A50" s="35">
        <f>Data_Stock!A50</f>
        <v>45972</v>
      </c>
      <c r="B50" s="36">
        <f>Data_Stock!B50</f>
        <v>1714.36</v>
      </c>
      <c r="C50" s="37">
        <f>Data_Stock!C50</f>
        <v>0.38500000000000001</v>
      </c>
      <c r="D50" s="38">
        <f t="shared" si="21"/>
        <v>1.6</v>
      </c>
      <c r="E50" s="28">
        <f>INDEX(Data_Svensson!$B$4:$B$202,MATCH($A50,Data_Svensson!$A$4:$A$202,1))</f>
        <v>1.139079</v>
      </c>
      <c r="F50" s="28">
        <f>INDEX(Data_Svensson!$C$4:$C$202,MATCH($A50,Data_Svensson!$A$4:$A$202,1))</f>
        <v>0.79463700000000004</v>
      </c>
      <c r="G50" s="28">
        <f>INDEX(Data_Svensson!$D$4:$D$202,MATCH($A50,Data_Svensson!$A$4:$A$202,1))</f>
        <v>-1.098646</v>
      </c>
      <c r="H50" s="28">
        <f>INDEX(Data_Svensson!$E$4:$E$202,MATCH($A50,Data_Svensson!$A$4:$A$202,1))</f>
        <v>7.2039809999999997</v>
      </c>
      <c r="I50" s="28">
        <f>INDEX(Data_Svensson!$F$4:$F$202,MATCH($A50,Data_Svensson!$A$4:$A$202,1))</f>
        <v>3.107783</v>
      </c>
      <c r="J50" s="28">
        <f>INDEX(Data_Svensson!$G$4:$G$202,MATCH($A50,Data_Svensson!$A$4:$A$202,1))</f>
        <v>13.656261000000001</v>
      </c>
      <c r="K50" s="28">
        <f t="shared" si="22"/>
        <v>0.78161069252058202</v>
      </c>
      <c r="L50" s="28">
        <f t="shared" si="23"/>
        <v>0.18401237501673162</v>
      </c>
      <c r="M50" s="28">
        <f t="shared" si="24"/>
        <v>5.4200419886281659E-2</v>
      </c>
      <c r="N50" s="29">
        <f t="shared" si="25"/>
        <v>1.948470111162641E-2</v>
      </c>
      <c r="O50" s="29">
        <f t="shared" si="26"/>
        <v>1.3484701111626409E-2</v>
      </c>
      <c r="P50" s="28">
        <f t="shared" si="27"/>
        <v>0.48699075966593042</v>
      </c>
      <c r="Q50" s="28">
        <f t="shared" si="28"/>
        <v>-0.40902546053886718</v>
      </c>
      <c r="R50" s="28">
        <f t="shared" si="29"/>
        <v>-2.8649056223890856E-2</v>
      </c>
      <c r="S50" s="28">
        <f t="shared" si="30"/>
        <v>1.2944910724153758</v>
      </c>
      <c r="T50" s="28">
        <f t="shared" si="31"/>
        <v>-2.0420329212238419</v>
      </c>
      <c r="U50" s="28">
        <f t="shared" si="32"/>
        <v>-0.71889279258457461</v>
      </c>
      <c r="V50" s="28">
        <f t="shared" si="33"/>
        <v>482.71446126587273</v>
      </c>
      <c r="W50" s="28">
        <f t="shared" si="34"/>
        <v>240.5315459290911</v>
      </c>
      <c r="X50" s="28">
        <f t="shared" si="35"/>
        <v>-3.0133772493092756</v>
      </c>
      <c r="Y50" s="28">
        <f t="shared" si="36"/>
        <v>105.25633317744604</v>
      </c>
      <c r="Z50" s="28">
        <f t="shared" si="37"/>
        <v>133.91320491002631</v>
      </c>
      <c r="AA50" s="28">
        <f t="shared" si="38"/>
        <v>1455.8963865981377</v>
      </c>
      <c r="AB50" s="32">
        <f t="shared" si="39"/>
        <v>1589.809591508164</v>
      </c>
      <c r="AC50" s="22">
        <f>INDEX(Data_Cert!$E$4:$E$195,MATCH($A50,Data_Cert!$A$4:$A$195,0))</f>
        <v>1655.11</v>
      </c>
      <c r="AD50" s="22">
        <f t="shared" si="40"/>
        <v>-65.300408491835924</v>
      </c>
      <c r="AE50" s="23">
        <f t="shared" si="41"/>
        <v>-3.9453817868199653E-2</v>
      </c>
      <c r="AF50" s="36">
        <f>Data_Stock!D50</f>
        <v>1605.36</v>
      </c>
    </row>
    <row r="51" spans="1:32" x14ac:dyDescent="0.2">
      <c r="A51" s="35">
        <f>Data_Stock!A51</f>
        <v>45973</v>
      </c>
      <c r="B51" s="36">
        <f>Data_Stock!B51</f>
        <v>1727.73</v>
      </c>
      <c r="C51" s="37">
        <f>Data_Stock!C51</f>
        <v>0.375</v>
      </c>
      <c r="D51" s="38">
        <f t="shared" si="21"/>
        <v>1.5972602739726027</v>
      </c>
      <c r="E51" s="28">
        <f>INDEX(Data_Svensson!$B$4:$B$202,MATCH($A51,Data_Svensson!$A$4:$A$202,1))</f>
        <v>1.133456</v>
      </c>
      <c r="F51" s="28">
        <f>INDEX(Data_Svensson!$C$4:$C$202,MATCH($A51,Data_Svensson!$A$4:$A$202,1))</f>
        <v>0.80215099999999995</v>
      </c>
      <c r="G51" s="28">
        <f>INDEX(Data_Svensson!$D$4:$D$202,MATCH($A51,Data_Svensson!$A$4:$A$202,1))</f>
        <v>-1.6533389999999999</v>
      </c>
      <c r="H51" s="28">
        <f>INDEX(Data_Svensson!$E$4:$E$202,MATCH($A51,Data_Svensson!$A$4:$A$202,1))</f>
        <v>7.493099</v>
      </c>
      <c r="I51" s="28">
        <f>INDEX(Data_Svensson!$F$4:$F$202,MATCH($A51,Data_Svensson!$A$4:$A$202,1))</f>
        <v>3.7814260000000002</v>
      </c>
      <c r="J51" s="28">
        <f>INDEX(Data_Svensson!$G$4:$G$202,MATCH($A51,Data_Svensson!$A$4:$A$202,1))</f>
        <v>12.765153</v>
      </c>
      <c r="K51" s="28">
        <f t="shared" si="22"/>
        <v>0.81564582783602702</v>
      </c>
      <c r="L51" s="28">
        <f t="shared" si="23"/>
        <v>0.1601715909830469</v>
      </c>
      <c r="M51" s="28">
        <f t="shared" si="24"/>
        <v>5.7581334639855153E-2</v>
      </c>
      <c r="N51" s="29">
        <f t="shared" si="25"/>
        <v>1.9543718193887411E-2</v>
      </c>
      <c r="O51" s="29">
        <f t="shared" si="26"/>
        <v>1.3543718193887411E-2</v>
      </c>
      <c r="P51" s="28">
        <f t="shared" si="27"/>
        <v>0.47393536060036423</v>
      </c>
      <c r="Q51" s="28">
        <f t="shared" si="28"/>
        <v>-0.40368911506568955</v>
      </c>
      <c r="R51" s="28">
        <f t="shared" si="29"/>
        <v>-2.6160880513332818E-2</v>
      </c>
      <c r="S51" s="28">
        <f t="shared" si="30"/>
        <v>1.333427514778095</v>
      </c>
      <c r="T51" s="28">
        <f t="shared" si="31"/>
        <v>-2.1277902815069929</v>
      </c>
      <c r="U51" s="28">
        <f t="shared" si="32"/>
        <v>-0.76820188621556551</v>
      </c>
      <c r="V51" s="28">
        <f t="shared" si="33"/>
        <v>467.00412074762869</v>
      </c>
      <c r="W51" s="28">
        <f t="shared" si="34"/>
        <v>222.02170029494988</v>
      </c>
      <c r="X51" s="28">
        <f t="shared" si="35"/>
        <v>-2.3172564644185538</v>
      </c>
      <c r="Y51" s="28">
        <f t="shared" si="36"/>
        <v>101.36838923914539</v>
      </c>
      <c r="Z51" s="28">
        <f t="shared" si="37"/>
        <v>141.29677474911486</v>
      </c>
      <c r="AA51" s="28">
        <f t="shared" si="38"/>
        <v>1471.5274727065062</v>
      </c>
      <c r="AB51" s="32">
        <f t="shared" si="39"/>
        <v>1612.8242474556209</v>
      </c>
      <c r="AC51" s="22">
        <f>INDEX(Data_Cert!$E$4:$E$195,MATCH($A51,Data_Cert!$A$4:$A$195,0))</f>
        <v>1666.85</v>
      </c>
      <c r="AD51" s="22">
        <f t="shared" si="40"/>
        <v>-54.025752544378975</v>
      </c>
      <c r="AE51" s="23">
        <f t="shared" si="41"/>
        <v>-3.2411886219143281E-2</v>
      </c>
      <c r="AF51" s="36">
        <f>Data_Stock!D51</f>
        <v>1615.82</v>
      </c>
    </row>
    <row r="52" spans="1:32" x14ac:dyDescent="0.2">
      <c r="A52" s="35">
        <f>Data_Stock!A52</f>
        <v>45974</v>
      </c>
      <c r="B52" s="36">
        <f>Data_Stock!B52</f>
        <v>1733.18</v>
      </c>
      <c r="C52" s="37">
        <f>Data_Stock!C52</f>
        <v>0.36399999999999999</v>
      </c>
      <c r="D52" s="38">
        <f t="shared" si="21"/>
        <v>1.5945205479452054</v>
      </c>
      <c r="E52" s="28">
        <f>INDEX(Data_Svensson!$B$4:$B$202,MATCH($A52,Data_Svensson!$A$4:$A$202,1))</f>
        <v>1.1199129999999999</v>
      </c>
      <c r="F52" s="28">
        <f>INDEX(Data_Svensson!$C$4:$C$202,MATCH($A52,Data_Svensson!$A$4:$A$202,1))</f>
        <v>0.78597799999999995</v>
      </c>
      <c r="G52" s="28">
        <f>INDEX(Data_Svensson!$D$4:$D$202,MATCH($A52,Data_Svensson!$A$4:$A$202,1))</f>
        <v>-1.4079379999999999</v>
      </c>
      <c r="H52" s="28">
        <f>INDEX(Data_Svensson!$E$4:$E$202,MATCH($A52,Data_Svensson!$A$4:$A$202,1))</f>
        <v>7.5197459999999996</v>
      </c>
      <c r="I52" s="28">
        <f>INDEX(Data_Svensson!$F$4:$F$202,MATCH($A52,Data_Svensson!$A$4:$A$202,1))</f>
        <v>3.9539049999999998</v>
      </c>
      <c r="J52" s="28">
        <f>INDEX(Data_Svensson!$G$4:$G$202,MATCH($A52,Data_Svensson!$A$4:$A$202,1))</f>
        <v>13.239443</v>
      </c>
      <c r="K52" s="28">
        <f t="shared" si="22"/>
        <v>0.82294039777664629</v>
      </c>
      <c r="L52" s="28">
        <f t="shared" si="23"/>
        <v>0.15481366584683598</v>
      </c>
      <c r="M52" s="28">
        <f t="shared" si="24"/>
        <v>5.5595060120718576E-2</v>
      </c>
      <c r="N52" s="29">
        <f t="shared" si="25"/>
        <v>1.9668187358611634E-2</v>
      </c>
      <c r="O52" s="29">
        <f t="shared" si="26"/>
        <v>1.3668187358611633E-2</v>
      </c>
      <c r="P52" s="28">
        <f t="shared" si="27"/>
        <v>0.45963854768779777</v>
      </c>
      <c r="Q52" s="28">
        <f t="shared" si="28"/>
        <v>-0.39684075475024427</v>
      </c>
      <c r="R52" s="28">
        <f t="shared" si="29"/>
        <v>-3.4290653633445745E-2</v>
      </c>
      <c r="S52" s="28">
        <f t="shared" si="30"/>
        <v>1.3675870166184032</v>
      </c>
      <c r="T52" s="28">
        <f t="shared" si="31"/>
        <v>-2.21499420784812</v>
      </c>
      <c r="U52" s="28">
        <f t="shared" si="32"/>
        <v>-0.81311653759627123</v>
      </c>
      <c r="V52" s="28">
        <f t="shared" si="33"/>
        <v>454.26036331704256</v>
      </c>
      <c r="W52" s="28">
        <f t="shared" si="34"/>
        <v>205.51520602251429</v>
      </c>
      <c r="X52" s="28">
        <f t="shared" si="35"/>
        <v>-1.7566848491507425</v>
      </c>
      <c r="Y52" s="28">
        <f t="shared" si="36"/>
        <v>97.845851336079306</v>
      </c>
      <c r="Z52" s="28">
        <f t="shared" si="37"/>
        <v>149.14262110929823</v>
      </c>
      <c r="AA52" s="28">
        <f t="shared" si="38"/>
        <v>1483.9903103390575</v>
      </c>
      <c r="AB52" s="32">
        <f t="shared" si="39"/>
        <v>1633.1329314483557</v>
      </c>
      <c r="AC52" s="22">
        <f>INDEX(Data_Cert!$E$4:$E$195,MATCH($A52,Data_Cert!$A$4:$A$195,0))</f>
        <v>1673.65</v>
      </c>
      <c r="AD52" s="22">
        <f t="shared" si="40"/>
        <v>-40.517068551644343</v>
      </c>
      <c r="AE52" s="23">
        <f t="shared" si="41"/>
        <v>-2.4208806232870875E-2</v>
      </c>
      <c r="AF52" s="36">
        <f>Data_Stock!D52</f>
        <v>1643.78</v>
      </c>
    </row>
    <row r="53" spans="1:32" x14ac:dyDescent="0.2">
      <c r="A53" s="35">
        <f>Data_Stock!A53</f>
        <v>45975</v>
      </c>
      <c r="B53" s="36">
        <f>Data_Stock!B53</f>
        <v>1709.91</v>
      </c>
      <c r="C53" s="37">
        <f>Data_Stock!C53</f>
        <v>0.35599999999999998</v>
      </c>
      <c r="D53" s="38">
        <f t="shared" si="21"/>
        <v>1.5917808219178082</v>
      </c>
      <c r="E53" s="28">
        <f>INDEX(Data_Svensson!$B$4:$B$202,MATCH($A53,Data_Svensson!$A$4:$A$202,1))</f>
        <v>1.1083590000000001</v>
      </c>
      <c r="F53" s="28">
        <f>INDEX(Data_Svensson!$C$4:$C$202,MATCH($A53,Data_Svensson!$A$4:$A$202,1))</f>
        <v>0.77777799999999997</v>
      </c>
      <c r="G53" s="28">
        <f>INDEX(Data_Svensson!$D$4:$D$202,MATCH($A53,Data_Svensson!$A$4:$A$202,1))</f>
        <v>-0.83835000000000004</v>
      </c>
      <c r="H53" s="28">
        <f>INDEX(Data_Svensson!$E$4:$E$202,MATCH($A53,Data_Svensson!$A$4:$A$202,1))</f>
        <v>7.3708229999999997</v>
      </c>
      <c r="I53" s="28">
        <f>INDEX(Data_Svensson!$F$4:$F$202,MATCH($A53,Data_Svensson!$A$4:$A$202,1))</f>
        <v>3.2145049999999999</v>
      </c>
      <c r="J53" s="28">
        <f>INDEX(Data_Svensson!$G$4:$G$202,MATCH($A53,Data_Svensson!$A$4:$A$202,1))</f>
        <v>14.078389</v>
      </c>
      <c r="K53" s="28">
        <f t="shared" si="22"/>
        <v>0.78867798752710172</v>
      </c>
      <c r="L53" s="28">
        <f t="shared" si="23"/>
        <v>0.17922100899210891</v>
      </c>
      <c r="M53" s="28">
        <f t="shared" si="24"/>
        <v>5.2446857465780261E-2</v>
      </c>
      <c r="N53" s="29">
        <f t="shared" si="25"/>
        <v>1.9581019581808148E-2</v>
      </c>
      <c r="O53" s="29">
        <f t="shared" si="26"/>
        <v>1.3581019581808148E-2</v>
      </c>
      <c r="P53" s="28">
        <f t="shared" si="27"/>
        <v>0.44915023571915819</v>
      </c>
      <c r="Q53" s="28">
        <f t="shared" si="28"/>
        <v>-0.39284008031018691</v>
      </c>
      <c r="R53" s="28">
        <f t="shared" si="29"/>
        <v>-7.6189360824718277E-2</v>
      </c>
      <c r="S53" s="28">
        <f t="shared" si="30"/>
        <v>1.358424194167186</v>
      </c>
      <c r="T53" s="28">
        <f t="shared" si="31"/>
        <v>-2.2476257070632806</v>
      </c>
      <c r="U53" s="28">
        <f t="shared" si="32"/>
        <v>-0.81301215207137667</v>
      </c>
      <c r="V53" s="28">
        <f t="shared" si="33"/>
        <v>459.4120209064281</v>
      </c>
      <c r="W53" s="28">
        <f t="shared" si="34"/>
        <v>204.43263601685015</v>
      </c>
      <c r="X53" s="28">
        <f t="shared" si="35"/>
        <v>-1.5677166945393157</v>
      </c>
      <c r="Y53" s="28">
        <f t="shared" si="36"/>
        <v>99.214388877231386</v>
      </c>
      <c r="Z53" s="28">
        <f t="shared" si="37"/>
        <v>154.19727931780724</v>
      </c>
      <c r="AA53" s="28">
        <f t="shared" si="38"/>
        <v>1479.2120683637149</v>
      </c>
      <c r="AB53" s="32">
        <f t="shared" si="39"/>
        <v>1633.4093476815221</v>
      </c>
      <c r="AC53" s="22">
        <f>INDEX(Data_Cert!$E$4:$E$195,MATCH($A53,Data_Cert!$A$4:$A$195,0))</f>
        <v>1656.44</v>
      </c>
      <c r="AD53" s="22">
        <f t="shared" si="40"/>
        <v>-23.030652318477905</v>
      </c>
      <c r="AE53" s="23">
        <f t="shared" si="41"/>
        <v>-1.3903704522033943E-2</v>
      </c>
      <c r="AF53" s="36">
        <f>Data_Stock!D53</f>
        <v>1644.96</v>
      </c>
    </row>
    <row r="54" spans="1:32" x14ac:dyDescent="0.2">
      <c r="A54" s="35">
        <f>Data_Stock!A54</f>
        <v>45978</v>
      </c>
      <c r="B54" s="36">
        <f>Data_Stock!B54</f>
        <v>1705.95</v>
      </c>
      <c r="C54" s="37">
        <f>Data_Stock!C54</f>
        <v>0.34599999999999997</v>
      </c>
      <c r="D54" s="38">
        <f t="shared" si="21"/>
        <v>1.5835616438356164</v>
      </c>
      <c r="E54" s="28">
        <f>INDEX(Data_Svensson!$B$4:$B$202,MATCH($A54,Data_Svensson!$A$4:$A$202,1))</f>
        <v>1.1198429999999999</v>
      </c>
      <c r="F54" s="28">
        <f>INDEX(Data_Svensson!$C$4:$C$202,MATCH($A54,Data_Svensson!$A$4:$A$202,1))</f>
        <v>0.78911699999999996</v>
      </c>
      <c r="G54" s="28">
        <f>INDEX(Data_Svensson!$D$4:$D$202,MATCH($A54,Data_Svensson!$A$4:$A$202,1))</f>
        <v>-0.87392899999999996</v>
      </c>
      <c r="H54" s="28">
        <f>INDEX(Data_Svensson!$E$4:$E$202,MATCH($A54,Data_Svensson!$A$4:$A$202,1))</f>
        <v>7.3785189999999998</v>
      </c>
      <c r="I54" s="28">
        <f>INDEX(Data_Svensson!$F$4:$F$202,MATCH($A54,Data_Svensson!$A$4:$A$202,1))</f>
        <v>3.2067070000000002</v>
      </c>
      <c r="J54" s="28">
        <f>INDEX(Data_Svensson!$G$4:$G$202,MATCH($A54,Data_Svensson!$A$4:$A$202,1))</f>
        <v>14.084256</v>
      </c>
      <c r="K54" s="28">
        <f t="shared" si="22"/>
        <v>0.7891700352483918</v>
      </c>
      <c r="L54" s="28">
        <f t="shared" si="23"/>
        <v>0.1788842805111347</v>
      </c>
      <c r="M54" s="28">
        <f t="shared" si="24"/>
        <v>5.2176037947849752E-2</v>
      </c>
      <c r="N54" s="29">
        <f t="shared" si="25"/>
        <v>1.97124021766522E-2</v>
      </c>
      <c r="O54" s="29">
        <f t="shared" si="26"/>
        <v>1.37124021766522E-2</v>
      </c>
      <c r="P54" s="28">
        <f t="shared" si="27"/>
        <v>0.43540517423823138</v>
      </c>
      <c r="Q54" s="28">
        <f t="shared" si="28"/>
        <v>-0.38545890126088245</v>
      </c>
      <c r="R54" s="28">
        <f t="shared" si="29"/>
        <v>-9.7660238671731125E-2</v>
      </c>
      <c r="S54" s="28">
        <f t="shared" si="30"/>
        <v>1.3822418261529605</v>
      </c>
      <c r="T54" s="28">
        <f t="shared" si="31"/>
        <v>-2.3269951426315325</v>
      </c>
      <c r="U54" s="28">
        <f t="shared" si="32"/>
        <v>-0.84709307780684129</v>
      </c>
      <c r="V54" s="28">
        <f t="shared" si="33"/>
        <v>452.15876919237007</v>
      </c>
      <c r="W54" s="28">
        <f t="shared" si="34"/>
        <v>192.14504090320074</v>
      </c>
      <c r="X54" s="28">
        <f t="shared" si="35"/>
        <v>-1.205254246434377</v>
      </c>
      <c r="Y54" s="28">
        <f t="shared" si="36"/>
        <v>96.64367606384576</v>
      </c>
      <c r="Z54" s="28">
        <f t="shared" si="37"/>
        <v>162.16479797888917</v>
      </c>
      <c r="AA54" s="28">
        <f t="shared" si="38"/>
        <v>1486.3739887031566</v>
      </c>
      <c r="AB54" s="32">
        <f t="shared" si="39"/>
        <v>1648.5387866820456</v>
      </c>
      <c r="AC54" s="22">
        <f>INDEX(Data_Cert!$E$4:$E$195,MATCH($A54,Data_Cert!$A$4:$A$195,0))</f>
        <v>1658.34</v>
      </c>
      <c r="AD54" s="22">
        <f t="shared" si="40"/>
        <v>-9.8012133179543071</v>
      </c>
      <c r="AE54" s="23">
        <f t="shared" si="41"/>
        <v>-5.9102556278895204E-3</v>
      </c>
      <c r="AF54" s="36">
        <f>Data_Stock!D54</f>
        <v>1652.25</v>
      </c>
    </row>
    <row r="55" spans="1:32" x14ac:dyDescent="0.2">
      <c r="A55" s="35">
        <f>Data_Stock!A55</f>
        <v>45979</v>
      </c>
      <c r="B55" s="36">
        <f>Data_Stock!B55</f>
        <v>1699.02</v>
      </c>
      <c r="C55" s="37">
        <f>Data_Stock!C55</f>
        <v>0.33600000000000002</v>
      </c>
      <c r="D55" s="38">
        <f t="shared" si="21"/>
        <v>1.5808219178082192</v>
      </c>
      <c r="E55" s="28">
        <f>INDEX(Data_Svensson!$B$4:$B$202,MATCH($A55,Data_Svensson!$A$4:$A$202,1))</f>
        <v>1.131105</v>
      </c>
      <c r="F55" s="28">
        <f>INDEX(Data_Svensson!$C$4:$C$202,MATCH($A55,Data_Svensson!$A$4:$A$202,1))</f>
        <v>0.78753300000000004</v>
      </c>
      <c r="G55" s="28">
        <f>INDEX(Data_Svensson!$D$4:$D$202,MATCH($A55,Data_Svensson!$A$4:$A$202,1))</f>
        <v>-1.465956</v>
      </c>
      <c r="H55" s="28">
        <f>INDEX(Data_Svensson!$E$4:$E$202,MATCH($A55,Data_Svensson!$A$4:$A$202,1))</f>
        <v>7.6168149999999999</v>
      </c>
      <c r="I55" s="28">
        <f>INDEX(Data_Svensson!$F$4:$F$202,MATCH($A55,Data_Svensson!$A$4:$A$202,1))</f>
        <v>3.6206700000000001</v>
      </c>
      <c r="J55" s="28">
        <f>INDEX(Data_Svensson!$G$4:$G$202,MATCH($A55,Data_Svensson!$A$4:$A$202,1))</f>
        <v>13.073271999999999</v>
      </c>
      <c r="K55" s="28">
        <f t="shared" si="22"/>
        <v>0.8102804258230879</v>
      </c>
      <c r="L55" s="28">
        <f t="shared" si="23"/>
        <v>0.16405722865574435</v>
      </c>
      <c r="M55" s="28">
        <f t="shared" si="24"/>
        <v>5.5800234165109375E-2</v>
      </c>
      <c r="N55" s="29">
        <f t="shared" si="25"/>
        <v>1.953746956490791E-2</v>
      </c>
      <c r="O55" s="29">
        <f t="shared" si="26"/>
        <v>1.353746956490791E-2</v>
      </c>
      <c r="P55" s="28">
        <f t="shared" si="27"/>
        <v>0.4224552890340903</v>
      </c>
      <c r="Q55" s="28">
        <f t="shared" si="28"/>
        <v>-0.38008902383691268</v>
      </c>
      <c r="R55" s="28">
        <f t="shared" si="29"/>
        <v>-0.12418119373698916</v>
      </c>
      <c r="S55" s="28">
        <f t="shared" si="30"/>
        <v>1.4010855815087018</v>
      </c>
      <c r="T55" s="28">
        <f t="shared" si="31"/>
        <v>-2.402583015533629</v>
      </c>
      <c r="U55" s="28">
        <f t="shared" si="32"/>
        <v>-0.87731624028793798</v>
      </c>
      <c r="V55" s="28">
        <f t="shared" si="33"/>
        <v>447.67201411603435</v>
      </c>
      <c r="W55" s="28">
        <f t="shared" si="34"/>
        <v>182.1557948702993</v>
      </c>
      <c r="X55" s="28">
        <f t="shared" si="35"/>
        <v>-0.93483131372363371</v>
      </c>
      <c r="Y55" s="28">
        <f t="shared" si="36"/>
        <v>94.519734457800269</v>
      </c>
      <c r="Z55" s="28">
        <f t="shared" si="37"/>
        <v>170.06165347421114</v>
      </c>
      <c r="AA55" s="28">
        <f t="shared" si="38"/>
        <v>1491.5016198474768</v>
      </c>
      <c r="AB55" s="32">
        <f t="shared" si="39"/>
        <v>1661.563273321688</v>
      </c>
      <c r="AC55" s="22">
        <f>INDEX(Data_Cert!$E$4:$E$195,MATCH($A55,Data_Cert!$A$4:$A$195,0))</f>
        <v>1663.58</v>
      </c>
      <c r="AD55" s="22">
        <f t="shared" si="40"/>
        <v>-2.0167266783118976</v>
      </c>
      <c r="AE55" s="23">
        <f t="shared" si="41"/>
        <v>-1.21228115168005E-3</v>
      </c>
      <c r="AF55" s="36">
        <f>Data_Stock!D55</f>
        <v>1679.75</v>
      </c>
    </row>
    <row r="56" spans="1:32" x14ac:dyDescent="0.2">
      <c r="A56" s="35">
        <f>Data_Stock!A56</f>
        <v>45980</v>
      </c>
      <c r="B56" s="36">
        <f>Data_Stock!B56</f>
        <v>1580.2</v>
      </c>
      <c r="C56" s="37">
        <f>Data_Stock!C56</f>
        <v>0.43</v>
      </c>
      <c r="D56" s="38">
        <f t="shared" si="21"/>
        <v>1.5780821917808219</v>
      </c>
      <c r="E56" s="28">
        <f>INDEX(Data_Svensson!$B$4:$B$202,MATCH($A56,Data_Svensson!$A$4:$A$202,1))</f>
        <v>1.150347</v>
      </c>
      <c r="F56" s="28">
        <f>INDEX(Data_Svensson!$C$4:$C$202,MATCH($A56,Data_Svensson!$A$4:$A$202,1))</f>
        <v>0.80564499999999994</v>
      </c>
      <c r="G56" s="28">
        <f>INDEX(Data_Svensson!$D$4:$D$202,MATCH($A56,Data_Svensson!$A$4:$A$202,1))</f>
        <v>-1.632309</v>
      </c>
      <c r="H56" s="28">
        <f>INDEX(Data_Svensson!$E$4:$E$202,MATCH($A56,Data_Svensson!$A$4:$A$202,1))</f>
        <v>7.6695770000000003</v>
      </c>
      <c r="I56" s="28">
        <f>INDEX(Data_Svensson!$F$4:$F$202,MATCH($A56,Data_Svensson!$A$4:$A$202,1))</f>
        <v>3.5582259999999999</v>
      </c>
      <c r="J56" s="28">
        <f>INDEX(Data_Svensson!$G$4:$G$202,MATCH($A56,Data_Svensson!$A$4:$A$202,1))</f>
        <v>12.77251</v>
      </c>
      <c r="K56" s="28">
        <f t="shared" si="22"/>
        <v>0.8076963888330746</v>
      </c>
      <c r="L56" s="28">
        <f t="shared" si="23"/>
        <v>0.16591177132512358</v>
      </c>
      <c r="M56" s="28">
        <f t="shared" si="24"/>
        <v>5.6916248770345956E-2</v>
      </c>
      <c r="N56" s="29">
        <f t="shared" si="25"/>
        <v>1.9667678321368051E-2</v>
      </c>
      <c r="O56" s="29">
        <f t="shared" si="26"/>
        <v>1.3667678321368051E-2</v>
      </c>
      <c r="P56" s="28">
        <f t="shared" si="27"/>
        <v>0.54017348811310051</v>
      </c>
      <c r="Q56" s="28">
        <f t="shared" si="28"/>
        <v>-0.42608070134468334</v>
      </c>
      <c r="R56" s="28">
        <f t="shared" si="29"/>
        <v>-0.12613233037291732</v>
      </c>
      <c r="S56" s="28">
        <f t="shared" si="30"/>
        <v>1.066738165069834</v>
      </c>
      <c r="T56" s="28">
        <f t="shared" si="31"/>
        <v>-1.6395766816124515</v>
      </c>
      <c r="U56" s="28">
        <f t="shared" si="32"/>
        <v>-0.44670618616970048</v>
      </c>
      <c r="V56" s="28">
        <f t="shared" si="33"/>
        <v>587.89152412995793</v>
      </c>
      <c r="W56" s="28">
        <f t="shared" si="34"/>
        <v>356.29596723655482</v>
      </c>
      <c r="X56" s="28">
        <f t="shared" si="35"/>
        <v>-9.2830040749050866</v>
      </c>
      <c r="Y56" s="28">
        <f t="shared" si="36"/>
        <v>123.87162082722375</v>
      </c>
      <c r="Z56" s="28">
        <f t="shared" si="37"/>
        <v>98.440931991274283</v>
      </c>
      <c r="AA56" s="28">
        <f t="shared" si="38"/>
        <v>1350.9874693450229</v>
      </c>
      <c r="AB56" s="32">
        <f t="shared" si="39"/>
        <v>1449.4284013362972</v>
      </c>
      <c r="AC56" s="22">
        <f>INDEX(Data_Cert!$E$4:$E$195,MATCH($A56,Data_Cert!$A$4:$A$195,0))</f>
        <v>1598.9</v>
      </c>
      <c r="AD56" s="22">
        <f t="shared" si="40"/>
        <v>-149.47159866370293</v>
      </c>
      <c r="AE56" s="23">
        <f t="shared" si="41"/>
        <v>-9.3484019428171194E-2</v>
      </c>
      <c r="AF56" s="36">
        <f>Data_Stock!D56</f>
        <v>1455.2</v>
      </c>
    </row>
    <row r="57" spans="1:32" x14ac:dyDescent="0.2">
      <c r="A57" s="35">
        <f>Data_Stock!A57</f>
        <v>45981</v>
      </c>
      <c r="B57" s="36">
        <f>Data_Stock!B57</f>
        <v>1620.8</v>
      </c>
      <c r="C57" s="37">
        <f>Data_Stock!C57</f>
        <v>0.42899999999999999</v>
      </c>
      <c r="D57" s="38">
        <f t="shared" si="21"/>
        <v>1.5753424657534247</v>
      </c>
      <c r="E57" s="28">
        <f>INDEX(Data_Svensson!$B$4:$B$202,MATCH($A57,Data_Svensson!$A$4:$A$202,1))</f>
        <v>1.1618869999999999</v>
      </c>
      <c r="F57" s="28">
        <f>INDEX(Data_Svensson!$C$4:$C$202,MATCH($A57,Data_Svensson!$A$4:$A$202,1))</f>
        <v>0.80164899999999994</v>
      </c>
      <c r="G57" s="28">
        <f>INDEX(Data_Svensson!$D$4:$D$202,MATCH($A57,Data_Svensson!$A$4:$A$202,1))</f>
        <v>-2.3416600000000001</v>
      </c>
      <c r="H57" s="28">
        <f>INDEX(Data_Svensson!$E$4:$E$202,MATCH($A57,Data_Svensson!$A$4:$A$202,1))</f>
        <v>8.2707820000000005</v>
      </c>
      <c r="I57" s="28">
        <f>INDEX(Data_Svensson!$F$4:$F$202,MATCH($A57,Data_Svensson!$A$4:$A$202,1))</f>
        <v>4.1654650000000002</v>
      </c>
      <c r="J57" s="28">
        <f>INDEX(Data_Svensson!$G$4:$G$202,MATCH($A57,Data_Svensson!$A$4:$A$202,1))</f>
        <v>11.959327999999999</v>
      </c>
      <c r="K57" s="28">
        <f t="shared" si="22"/>
        <v>0.83264891862284185</v>
      </c>
      <c r="L57" s="28">
        <f t="shared" si="23"/>
        <v>0.14754946407700609</v>
      </c>
      <c r="M57" s="28">
        <f t="shared" si="24"/>
        <v>6.0354610673518438E-2</v>
      </c>
      <c r="N57" s="29">
        <f t="shared" si="25"/>
        <v>1.9830483224900643E-2</v>
      </c>
      <c r="O57" s="29">
        <f t="shared" si="26"/>
        <v>1.3830483224900643E-2</v>
      </c>
      <c r="P57" s="28">
        <f t="shared" si="27"/>
        <v>0.53844925734903382</v>
      </c>
      <c r="Q57" s="28">
        <f t="shared" si="28"/>
        <v>-0.42485107544025164</v>
      </c>
      <c r="R57" s="28">
        <f t="shared" si="29"/>
        <v>-8.0742570517730594E-2</v>
      </c>
      <c r="S57" s="28">
        <f t="shared" si="30"/>
        <v>1.1159477537718763</v>
      </c>
      <c r="T57" s="28">
        <f t="shared" si="31"/>
        <v>-1.6932610554728995</v>
      </c>
      <c r="U57" s="28">
        <f t="shared" si="32"/>
        <v>-0.49657073118329242</v>
      </c>
      <c r="V57" s="28">
        <f t="shared" si="33"/>
        <v>564.73802015169508</v>
      </c>
      <c r="W57" s="28">
        <f t="shared" si="34"/>
        <v>333.97835604904844</v>
      </c>
      <c r="X57" s="28">
        <f t="shared" si="35"/>
        <v>-8.1169662093573507</v>
      </c>
      <c r="Y57" s="28">
        <f t="shared" si="36"/>
        <v>119.59244414571037</v>
      </c>
      <c r="Z57" s="28">
        <f t="shared" si="37"/>
        <v>103.05025374757892</v>
      </c>
      <c r="AA57" s="28">
        <f t="shared" si="38"/>
        <v>1373.7482167226008</v>
      </c>
      <c r="AB57" s="32">
        <f t="shared" si="39"/>
        <v>1476.7984704701796</v>
      </c>
      <c r="AC57" s="22">
        <f>INDEX(Data_Cert!$E$4:$E$195,MATCH($A57,Data_Cert!$A$4:$A$195,0))</f>
        <v>1600.04</v>
      </c>
      <c r="AD57" s="22">
        <f t="shared" si="40"/>
        <v>-123.24152952982035</v>
      </c>
      <c r="AE57" s="23">
        <f t="shared" si="41"/>
        <v>-7.7024030355378845E-2</v>
      </c>
      <c r="AF57" s="36">
        <f>Data_Stock!D57</f>
        <v>1487.97</v>
      </c>
    </row>
    <row r="58" spans="1:32" x14ac:dyDescent="0.2">
      <c r="A58" s="35">
        <f>Data_Stock!A58</f>
        <v>45982</v>
      </c>
      <c r="B58" s="36">
        <f>Data_Stock!B58</f>
        <v>1504.46</v>
      </c>
      <c r="C58" s="37">
        <f>Data_Stock!C58</f>
        <v>0.50700000000000001</v>
      </c>
      <c r="D58" s="38">
        <f t="shared" si="21"/>
        <v>1.5726027397260274</v>
      </c>
      <c r="E58" s="28">
        <f>INDEX(Data_Svensson!$B$4:$B$202,MATCH($A58,Data_Svensson!$A$4:$A$202,1))</f>
        <v>1.153408</v>
      </c>
      <c r="F58" s="28">
        <f>INDEX(Data_Svensson!$C$4:$C$202,MATCH($A58,Data_Svensson!$A$4:$A$202,1))</f>
        <v>0.80629799999999996</v>
      </c>
      <c r="G58" s="28">
        <f>INDEX(Data_Svensson!$D$4:$D$202,MATCH($A58,Data_Svensson!$A$4:$A$202,1))</f>
        <v>-1.5622050000000001</v>
      </c>
      <c r="H58" s="28">
        <f>INDEX(Data_Svensson!$E$4:$E$202,MATCH($A58,Data_Svensson!$A$4:$A$202,1))</f>
        <v>7.6596950000000001</v>
      </c>
      <c r="I58" s="28">
        <f>INDEX(Data_Svensson!$F$4:$F$202,MATCH($A58,Data_Svensson!$A$4:$A$202,1))</f>
        <v>3.3638270000000001</v>
      </c>
      <c r="J58" s="28">
        <f>INDEX(Data_Svensson!$G$4:$G$202,MATCH($A58,Data_Svensson!$A$4:$A$202,1))</f>
        <v>12.998535</v>
      </c>
      <c r="K58" s="28">
        <f t="shared" si="22"/>
        <v>0.79878625478682386</v>
      </c>
      <c r="L58" s="28">
        <f t="shared" si="23"/>
        <v>0.17222206249431049</v>
      </c>
      <c r="M58" s="28">
        <f t="shared" si="24"/>
        <v>5.5826956756778734E-2</v>
      </c>
      <c r="N58" s="29">
        <f t="shared" si="25"/>
        <v>1.9560390540582964E-2</v>
      </c>
      <c r="O58" s="29">
        <f t="shared" si="26"/>
        <v>1.3560390540582964E-2</v>
      </c>
      <c r="P58" s="28">
        <f t="shared" si="27"/>
        <v>0.63579553446358494</v>
      </c>
      <c r="Q58" s="28">
        <f t="shared" si="28"/>
        <v>-0.44724589264854964</v>
      </c>
      <c r="R58" s="28">
        <f t="shared" si="29"/>
        <v>-9.6367557292249217E-2</v>
      </c>
      <c r="S58" s="28">
        <f t="shared" si="30"/>
        <v>0.91709822134702912</v>
      </c>
      <c r="T58" s="28">
        <f t="shared" si="31"/>
        <v>-1.2276868137653933</v>
      </c>
      <c r="U58" s="28">
        <f t="shared" si="32"/>
        <v>-0.21422103512611473</v>
      </c>
      <c r="V58" s="28">
        <f t="shared" si="33"/>
        <v>687.0309024763618</v>
      </c>
      <c r="W58" s="28">
        <f t="shared" si="34"/>
        <v>487.31385523802049</v>
      </c>
      <c r="X58" s="28">
        <f t="shared" si="35"/>
        <v>-26.473220890903789</v>
      </c>
      <c r="Y58" s="28">
        <f t="shared" si="36"/>
        <v>113.0338350620998</v>
      </c>
      <c r="Z58" s="28">
        <f t="shared" si="37"/>
        <v>60.209991285337708</v>
      </c>
      <c r="AA58" s="28">
        <f t="shared" si="38"/>
        <v>1252.3842441365996</v>
      </c>
      <c r="AB58" s="32">
        <f t="shared" si="39"/>
        <v>1312.5942354219374</v>
      </c>
      <c r="AC58" s="22">
        <f>INDEX(Data_Cert!$E$4:$E$195,MATCH($A58,Data_Cert!$A$4:$A$195,0))</f>
        <v>1521.95</v>
      </c>
      <c r="AD58" s="22">
        <f t="shared" si="40"/>
        <v>-209.35576457806269</v>
      </c>
      <c r="AE58" s="23">
        <f t="shared" si="41"/>
        <v>-0.13755758374326535</v>
      </c>
      <c r="AF58" s="36">
        <f>Data_Stock!D58</f>
        <v>1330.98</v>
      </c>
    </row>
    <row r="59" spans="1:32" x14ac:dyDescent="0.2">
      <c r="A59" s="35">
        <f>Data_Stock!A59</f>
        <v>45985</v>
      </c>
      <c r="B59" s="36">
        <f>Data_Stock!B59</f>
        <v>1428.72</v>
      </c>
      <c r="C59" s="37">
        <f>Data_Stock!C59</f>
        <v>0.53100000000000003</v>
      </c>
      <c r="D59" s="38">
        <f t="shared" si="21"/>
        <v>1.5643835616438355</v>
      </c>
      <c r="E59" s="28">
        <f>INDEX(Data_Svensson!$B$4:$B$202,MATCH($A59,Data_Svensson!$A$4:$A$202,1))</f>
        <v>1.149867</v>
      </c>
      <c r="F59" s="28">
        <f>INDEX(Data_Svensson!$C$4:$C$202,MATCH($A59,Data_Svensson!$A$4:$A$202,1))</f>
        <v>0.78609499999999999</v>
      </c>
      <c r="G59" s="28">
        <f>INDEX(Data_Svensson!$D$4:$D$202,MATCH($A59,Data_Svensson!$A$4:$A$202,1))</f>
        <v>-2.3741289999999999</v>
      </c>
      <c r="H59" s="28">
        <f>INDEX(Data_Svensson!$E$4:$E$202,MATCH($A59,Data_Svensson!$A$4:$A$202,1))</f>
        <v>8.2938299999999998</v>
      </c>
      <c r="I59" s="28">
        <f>INDEX(Data_Svensson!$F$4:$F$202,MATCH($A59,Data_Svensson!$A$4:$A$202,1))</f>
        <v>4.4042050000000001</v>
      </c>
      <c r="J59" s="28">
        <f>INDEX(Data_Svensson!$G$4:$G$202,MATCH($A59,Data_Svensson!$A$4:$A$202,1))</f>
        <v>12.042068</v>
      </c>
      <c r="K59" s="28">
        <f t="shared" si="22"/>
        <v>0.84168485313643215</v>
      </c>
      <c r="L59" s="28">
        <f t="shared" si="23"/>
        <v>0.14065321367624362</v>
      </c>
      <c r="M59" s="28">
        <f t="shared" si="24"/>
        <v>5.9594224348750169E-2</v>
      </c>
      <c r="N59" s="29">
        <f t="shared" si="25"/>
        <v>1.9718467468247115E-2</v>
      </c>
      <c r="O59" s="29">
        <f t="shared" si="26"/>
        <v>1.3718467468247115E-2</v>
      </c>
      <c r="P59" s="28">
        <f t="shared" si="27"/>
        <v>0.66414994799718052</v>
      </c>
      <c r="Q59" s="28">
        <f t="shared" si="28"/>
        <v>-0.45134622352649084</v>
      </c>
      <c r="R59" s="28">
        <f t="shared" si="29"/>
        <v>-0.14207592818879261</v>
      </c>
      <c r="S59" s="28">
        <f t="shared" si="30"/>
        <v>0.82812216989680543</v>
      </c>
      <c r="T59" s="28">
        <f t="shared" si="31"/>
        <v>-1.0695435137557276</v>
      </c>
      <c r="U59" s="28">
        <f t="shared" si="32"/>
        <v>-9.9345415670129777E-2</v>
      </c>
      <c r="V59" s="28">
        <f t="shared" si="33"/>
        <v>744.25567362859761</v>
      </c>
      <c r="W59" s="28">
        <f t="shared" si="34"/>
        <v>554.87929711652009</v>
      </c>
      <c r="X59" s="28">
        <f t="shared" si="35"/>
        <v>-37.524420009206906</v>
      </c>
      <c r="Y59" s="28">
        <f t="shared" si="36"/>
        <v>105.19639292341384</v>
      </c>
      <c r="Z59" s="28">
        <f t="shared" si="37"/>
        <v>46.655563579456782</v>
      </c>
      <c r="AA59" s="28">
        <f t="shared" si="38"/>
        <v>1194.9916769756157</v>
      </c>
      <c r="AB59" s="32">
        <f t="shared" si="39"/>
        <v>1241.6472405550726</v>
      </c>
      <c r="AC59" s="22">
        <f>INDEX(Data_Cert!$E$4:$E$195,MATCH($A59,Data_Cert!$A$4:$A$195,0))</f>
        <v>1446.9</v>
      </c>
      <c r="AD59" s="22">
        <f t="shared" si="40"/>
        <v>-205.25275944492751</v>
      </c>
      <c r="AE59" s="23">
        <f t="shared" si="41"/>
        <v>-0.1418569074883734</v>
      </c>
      <c r="AF59" s="36">
        <f>Data_Stock!D59</f>
        <v>1248.6300000000001</v>
      </c>
    </row>
    <row r="60" spans="1:32" x14ac:dyDescent="0.2">
      <c r="A60" s="35">
        <f>Data_Stock!A60</f>
        <v>45986</v>
      </c>
      <c r="B60" s="36">
        <f>Data_Stock!B60</f>
        <v>1453.47</v>
      </c>
      <c r="C60" s="37">
        <f>Data_Stock!C60</f>
        <v>0.51900000000000002</v>
      </c>
      <c r="D60" s="38">
        <f t="shared" si="21"/>
        <v>1.5616438356164384</v>
      </c>
      <c r="E60" s="28">
        <f>INDEX(Data_Svensson!$B$4:$B$202,MATCH($A60,Data_Svensson!$A$4:$A$202,1))</f>
        <v>1.1501760000000001</v>
      </c>
      <c r="F60" s="28">
        <f>INDEX(Data_Svensson!$C$4:$C$202,MATCH($A60,Data_Svensson!$A$4:$A$202,1))</f>
        <v>0.78963700000000003</v>
      </c>
      <c r="G60" s="28">
        <f>INDEX(Data_Svensson!$D$4:$D$202,MATCH($A60,Data_Svensson!$A$4:$A$202,1))</f>
        <v>-1.5922339999999999</v>
      </c>
      <c r="H60" s="28">
        <f>INDEX(Data_Svensson!$E$4:$E$202,MATCH($A60,Data_Svensson!$A$4:$A$202,1))</f>
        <v>7.6498059999999999</v>
      </c>
      <c r="I60" s="28">
        <f>INDEX(Data_Svensson!$F$4:$F$202,MATCH($A60,Data_Svensson!$A$4:$A$202,1))</f>
        <v>3.8300519999999998</v>
      </c>
      <c r="J60" s="28">
        <f>INDEX(Data_Svensson!$G$4:$G$202,MATCH($A60,Data_Svensson!$A$4:$A$202,1))</f>
        <v>13.235184</v>
      </c>
      <c r="K60" s="28">
        <f t="shared" si="22"/>
        <v>0.82123187094898287</v>
      </c>
      <c r="L60" s="28">
        <f t="shared" si="23"/>
        <v>0.15607632968720198</v>
      </c>
      <c r="M60" s="28">
        <f t="shared" si="24"/>
        <v>5.4554263767187638E-2</v>
      </c>
      <c r="N60" s="29">
        <f t="shared" si="25"/>
        <v>1.9674705664491844E-2</v>
      </c>
      <c r="O60" s="29">
        <f t="shared" si="26"/>
        <v>1.3674705664491844E-2</v>
      </c>
      <c r="P60" s="28">
        <f t="shared" si="27"/>
        <v>0.64857223591939206</v>
      </c>
      <c r="Q60" s="28">
        <f t="shared" si="28"/>
        <v>-0.44923279292662321</v>
      </c>
      <c r="R60" s="28">
        <f t="shared" si="29"/>
        <v>-0.13493545103640786</v>
      </c>
      <c r="S60" s="28">
        <f t="shared" si="30"/>
        <v>0.85856531989483087</v>
      </c>
      <c r="T60" s="28">
        <f t="shared" si="31"/>
        <v>-1.1376414529007521</v>
      </c>
      <c r="U60" s="28">
        <f t="shared" si="32"/>
        <v>-0.14414068196951324</v>
      </c>
      <c r="V60" s="28">
        <f t="shared" si="33"/>
        <v>722.03161787535703</v>
      </c>
      <c r="W60" s="28">
        <f t="shared" si="34"/>
        <v>527.24683385594824</v>
      </c>
      <c r="X60" s="28">
        <f t="shared" si="35"/>
        <v>-32.261718961447045</v>
      </c>
      <c r="Y60" s="28">
        <f t="shared" si="36"/>
        <v>110.26622912842112</v>
      </c>
      <c r="Z60" s="28">
        <f t="shared" si="37"/>
        <v>52.256835929540614</v>
      </c>
      <c r="AA60" s="28">
        <f t="shared" si="38"/>
        <v>1217.4530404368647</v>
      </c>
      <c r="AB60" s="32">
        <f t="shared" si="39"/>
        <v>1269.7098763664053</v>
      </c>
      <c r="AC60" s="22">
        <f>INDEX(Data_Cert!$E$4:$E$195,MATCH($A60,Data_Cert!$A$4:$A$195,0))</f>
        <v>1501.94</v>
      </c>
      <c r="AD60" s="22">
        <f t="shared" si="40"/>
        <v>-232.23012363359476</v>
      </c>
      <c r="AE60" s="23">
        <f t="shared" si="41"/>
        <v>-0.15462010708390131</v>
      </c>
      <c r="AF60" s="36">
        <f>Data_Stock!D60</f>
        <v>1284.21</v>
      </c>
    </row>
    <row r="61" spans="1:32" x14ac:dyDescent="0.2">
      <c r="A61" s="35">
        <f>Data_Stock!A61</f>
        <v>45987</v>
      </c>
      <c r="B61" s="36">
        <f>Data_Stock!B61</f>
        <v>1480.7</v>
      </c>
      <c r="C61" s="37">
        <f>Data_Stock!C61</f>
        <v>0.50800000000000001</v>
      </c>
      <c r="D61" s="38">
        <f t="shared" si="21"/>
        <v>1.558904109589041</v>
      </c>
      <c r="E61" s="28">
        <f>INDEX(Data_Svensson!$B$4:$B$202,MATCH($A61,Data_Svensson!$A$4:$A$202,1))</f>
        <v>1.1664810000000001</v>
      </c>
      <c r="F61" s="28">
        <f>INDEX(Data_Svensson!$C$4:$C$202,MATCH($A61,Data_Svensson!$A$4:$A$202,1))</f>
        <v>0.77671999999999997</v>
      </c>
      <c r="G61" s="28">
        <f>INDEX(Data_Svensson!$D$4:$D$202,MATCH($A61,Data_Svensson!$A$4:$A$202,1))</f>
        <v>-1.6063769999999999</v>
      </c>
      <c r="H61" s="28">
        <f>INDEX(Data_Svensson!$E$4:$E$202,MATCH($A61,Data_Svensson!$A$4:$A$202,1))</f>
        <v>7.6603339999999998</v>
      </c>
      <c r="I61" s="28">
        <f>INDEX(Data_Svensson!$F$4:$F$202,MATCH($A61,Data_Svensson!$A$4:$A$202,1))</f>
        <v>3.8237719999999999</v>
      </c>
      <c r="J61" s="28">
        <f>INDEX(Data_Svensson!$G$4:$G$202,MATCH($A61,Data_Svensson!$A$4:$A$202,1))</f>
        <v>13.242881000000001</v>
      </c>
      <c r="K61" s="28">
        <f t="shared" si="22"/>
        <v>0.82124980594355157</v>
      </c>
      <c r="L61" s="28">
        <f t="shared" si="23"/>
        <v>0.15606309959301734</v>
      </c>
      <c r="M61" s="28">
        <f t="shared" si="24"/>
        <v>5.4436799242654432E-2</v>
      </c>
      <c r="N61" s="29">
        <f t="shared" si="25"/>
        <v>1.9706700396272231E-2</v>
      </c>
      <c r="O61" s="29">
        <f t="shared" si="26"/>
        <v>1.3706700396272231E-2</v>
      </c>
      <c r="P61" s="28">
        <f t="shared" si="27"/>
        <v>0.63426889418998489</v>
      </c>
      <c r="Q61" s="28">
        <f t="shared" si="28"/>
        <v>-0.44688642973730458</v>
      </c>
      <c r="R61" s="28">
        <f t="shared" si="29"/>
        <v>-0.12315957111852782</v>
      </c>
      <c r="S61" s="28">
        <f t="shared" si="30"/>
        <v>0.89274554781909843</v>
      </c>
      <c r="T61" s="28">
        <f t="shared" si="31"/>
        <v>-1.2070052016127359</v>
      </c>
      <c r="U61" s="28">
        <f t="shared" si="32"/>
        <v>-0.19110008267510969</v>
      </c>
      <c r="V61" s="28">
        <f t="shared" si="33"/>
        <v>698.92650859375999</v>
      </c>
      <c r="W61" s="28">
        <f t="shared" si="34"/>
        <v>499.1145059079393</v>
      </c>
      <c r="X61" s="28">
        <f t="shared" si="35"/>
        <v>-27.579282979189813</v>
      </c>
      <c r="Y61" s="28">
        <f t="shared" si="36"/>
        <v>114.01252101591257</v>
      </c>
      <c r="Z61" s="28">
        <f t="shared" si="37"/>
        <v>58.220198690718291</v>
      </c>
      <c r="AA61" s="28">
        <f t="shared" si="38"/>
        <v>1240.5659592327231</v>
      </c>
      <c r="AB61" s="32">
        <f t="shared" si="39"/>
        <v>1298.7861579234414</v>
      </c>
      <c r="AC61" s="22">
        <f>INDEX(Data_Cert!$E$4:$E$195,MATCH($A61,Data_Cert!$A$4:$A$195,0))</f>
        <v>1526.44</v>
      </c>
      <c r="AD61" s="22">
        <f t="shared" si="40"/>
        <v>-227.6538420765587</v>
      </c>
      <c r="AE61" s="23">
        <f t="shared" si="41"/>
        <v>-0.14914038028128107</v>
      </c>
      <c r="AF61" s="36">
        <f>Data_Stock!D61</f>
        <v>1303.25</v>
      </c>
    </row>
    <row r="62" spans="1:32" x14ac:dyDescent="0.2">
      <c r="A62" s="35">
        <f>Data_Stock!A62</f>
        <v>45988</v>
      </c>
      <c r="B62" s="36">
        <f>Data_Stock!B62</f>
        <v>1499.02</v>
      </c>
      <c r="C62" s="37">
        <f>Data_Stock!C62</f>
        <v>0.495</v>
      </c>
      <c r="D62" s="38">
        <f t="shared" si="21"/>
        <v>1.5561643835616439</v>
      </c>
      <c r="E62" s="28">
        <f>INDEX(Data_Svensson!$B$4:$B$202,MATCH($A62,Data_Svensson!$A$4:$A$202,1))</f>
        <v>1.163635</v>
      </c>
      <c r="F62" s="28">
        <f>INDEX(Data_Svensson!$C$4:$C$202,MATCH($A62,Data_Svensson!$A$4:$A$202,1))</f>
        <v>0.78667500000000001</v>
      </c>
      <c r="G62" s="28">
        <f>INDEX(Data_Svensson!$D$4:$D$202,MATCH($A62,Data_Svensson!$A$4:$A$202,1))</f>
        <v>-1.613327</v>
      </c>
      <c r="H62" s="28">
        <f>INDEX(Data_Svensson!$E$4:$E$202,MATCH($A62,Data_Svensson!$A$4:$A$202,1))</f>
        <v>7.6550799999999999</v>
      </c>
      <c r="I62" s="28">
        <f>INDEX(Data_Svensson!$F$4:$F$202,MATCH($A62,Data_Svensson!$A$4:$A$202,1))</f>
        <v>3.8259979999999998</v>
      </c>
      <c r="J62" s="28">
        <f>INDEX(Data_Svensson!$G$4:$G$202,MATCH($A62,Data_Svensson!$A$4:$A$202,1))</f>
        <v>13.245956</v>
      </c>
      <c r="K62" s="28">
        <f t="shared" si="22"/>
        <v>0.82161483331681628</v>
      </c>
      <c r="L62" s="28">
        <f t="shared" si="23"/>
        <v>0.15579371699986222</v>
      </c>
      <c r="M62" s="28">
        <f t="shared" si="24"/>
        <v>5.433691116591588E-2</v>
      </c>
      <c r="N62" s="29">
        <f t="shared" si="25"/>
        <v>1.9745860408612492E-2</v>
      </c>
      <c r="O62" s="29">
        <f t="shared" si="26"/>
        <v>1.3745860408612491E-2</v>
      </c>
      <c r="P62" s="28">
        <f t="shared" si="27"/>
        <v>0.61749427372421184</v>
      </c>
      <c r="Q62" s="28">
        <f t="shared" si="28"/>
        <v>-0.44390017178405267</v>
      </c>
      <c r="R62" s="28">
        <f t="shared" si="29"/>
        <v>-0.12355614475548288</v>
      </c>
      <c r="S62" s="28">
        <f t="shared" si="30"/>
        <v>0.91994667593350532</v>
      </c>
      <c r="T62" s="28">
        <f t="shared" si="31"/>
        <v>-1.276672577537763</v>
      </c>
      <c r="U62" s="28">
        <f t="shared" si="32"/>
        <v>-0.23316975684877456</v>
      </c>
      <c r="V62" s="28">
        <f t="shared" si="33"/>
        <v>679.13425710044385</v>
      </c>
      <c r="W62" s="28">
        <f t="shared" si="34"/>
        <v>473.70506841185346</v>
      </c>
      <c r="X62" s="28">
        <f t="shared" si="35"/>
        <v>-23.386383496853043</v>
      </c>
      <c r="Y62" s="28">
        <f t="shared" si="36"/>
        <v>117.76628809579643</v>
      </c>
      <c r="Z62" s="28">
        <f t="shared" si="37"/>
        <v>64.276517095940903</v>
      </c>
      <c r="AA62" s="28">
        <f t="shared" si="38"/>
        <v>1260.3447342938653</v>
      </c>
      <c r="AB62" s="32">
        <f t="shared" si="39"/>
        <v>1324.6212513898063</v>
      </c>
      <c r="AC62" s="22">
        <f>INDEX(Data_Cert!$E$4:$E$195,MATCH($A62,Data_Cert!$A$4:$A$195,0))</f>
        <v>1546.01</v>
      </c>
      <c r="AD62" s="22">
        <f t="shared" si="40"/>
        <v>-221.38874861019372</v>
      </c>
      <c r="AE62" s="23">
        <f t="shared" si="41"/>
        <v>-0.14320007542654556</v>
      </c>
      <c r="AF62" s="36">
        <f>Data_Stock!D62</f>
        <v>1340.13</v>
      </c>
    </row>
    <row r="63" spans="1:32" x14ac:dyDescent="0.2">
      <c r="A63" s="35">
        <f>Data_Stock!A63</f>
        <v>45989</v>
      </c>
      <c r="B63" s="36">
        <f>Data_Stock!B63</f>
        <v>1465.85</v>
      </c>
      <c r="C63" s="37">
        <f>Data_Stock!C63</f>
        <v>0.48799999999999999</v>
      </c>
      <c r="D63" s="38">
        <f t="shared" si="21"/>
        <v>1.5534246575342465</v>
      </c>
      <c r="E63" s="28">
        <f>INDEX(Data_Svensson!$B$4:$B$202,MATCH($A63,Data_Svensson!$A$4:$A$202,1))</f>
        <v>1.1678139999999999</v>
      </c>
      <c r="F63" s="28">
        <f>INDEX(Data_Svensson!$C$4:$C$202,MATCH($A63,Data_Svensson!$A$4:$A$202,1))</f>
        <v>0.78960399999999997</v>
      </c>
      <c r="G63" s="28">
        <f>INDEX(Data_Svensson!$D$4:$D$202,MATCH($A63,Data_Svensson!$A$4:$A$202,1))</f>
        <v>-1.6004160000000001</v>
      </c>
      <c r="H63" s="28">
        <f>INDEX(Data_Svensson!$E$4:$E$202,MATCH($A63,Data_Svensson!$A$4:$A$202,1))</f>
        <v>7.6556499999999996</v>
      </c>
      <c r="I63" s="28">
        <f>INDEX(Data_Svensson!$F$4:$F$202,MATCH($A63,Data_Svensson!$A$4:$A$202,1))</f>
        <v>3.8285300000000002</v>
      </c>
      <c r="J63" s="28">
        <f>INDEX(Data_Svensson!$G$4:$G$202,MATCH($A63,Data_Svensson!$A$4:$A$202,1))</f>
        <v>13.240297</v>
      </c>
      <c r="K63" s="28">
        <f t="shared" si="22"/>
        <v>0.82199209037548415</v>
      </c>
      <c r="L63" s="28">
        <f t="shared" si="23"/>
        <v>0.15551508261725733</v>
      </c>
      <c r="M63" s="28">
        <f t="shared" si="24"/>
        <v>5.4270044297353159E-2</v>
      </c>
      <c r="N63" s="29">
        <f t="shared" si="25"/>
        <v>1.9834458806918948E-2</v>
      </c>
      <c r="O63" s="29">
        <f t="shared" si="26"/>
        <v>1.3834458806918947E-2</v>
      </c>
      <c r="P63" s="28">
        <f t="shared" si="27"/>
        <v>0.60822591332812814</v>
      </c>
      <c r="Q63" s="28">
        <f t="shared" si="28"/>
        <v>-0.44190717042243793</v>
      </c>
      <c r="R63" s="28">
        <f t="shared" si="29"/>
        <v>-0.1714029754828984</v>
      </c>
      <c r="S63" s="28">
        <f t="shared" si="30"/>
        <v>0.88800110821468825</v>
      </c>
      <c r="T63" s="28">
        <f t="shared" si="31"/>
        <v>-1.2685121499288909</v>
      </c>
      <c r="U63" s="28">
        <f t="shared" si="32"/>
        <v>-0.20910806623130407</v>
      </c>
      <c r="V63" s="28">
        <f t="shared" si="33"/>
        <v>691.97855530254503</v>
      </c>
      <c r="W63" s="28">
        <f t="shared" si="34"/>
        <v>484.03108125137658</v>
      </c>
      <c r="X63" s="28">
        <f t="shared" si="35"/>
        <v>-23.525177517375553</v>
      </c>
      <c r="Y63" s="28">
        <f t="shared" si="36"/>
        <v>121.30047183728243</v>
      </c>
      <c r="Z63" s="28">
        <f t="shared" si="37"/>
        <v>63.121824696510487</v>
      </c>
      <c r="AA63" s="28">
        <f t="shared" si="38"/>
        <v>1247.3384329630126</v>
      </c>
      <c r="AB63" s="32">
        <f t="shared" si="39"/>
        <v>1310.460257659523</v>
      </c>
      <c r="AC63" s="22">
        <f>INDEX(Data_Cert!$E$4:$E$195,MATCH($A63,Data_Cert!$A$4:$A$195,0))</f>
        <v>1506.66</v>
      </c>
      <c r="AD63" s="22">
        <f t="shared" si="40"/>
        <v>-196.19974234047709</v>
      </c>
      <c r="AE63" s="23">
        <f t="shared" si="41"/>
        <v>-0.13022164412706058</v>
      </c>
      <c r="AF63" s="36">
        <f>Data_Stock!D63</f>
        <v>1313.78</v>
      </c>
    </row>
    <row r="64" spans="1:32" x14ac:dyDescent="0.2">
      <c r="A64" s="35">
        <f>Data_Stock!A64</f>
        <v>45992</v>
      </c>
      <c r="B64" s="36">
        <f>Data_Stock!B64</f>
        <v>1433.67</v>
      </c>
      <c r="C64" s="37">
        <f>Data_Stock!C64</f>
        <v>0.48099999999999998</v>
      </c>
      <c r="D64" s="38">
        <f t="shared" si="21"/>
        <v>1.5452054794520549</v>
      </c>
      <c r="E64" s="28">
        <f>INDEX(Data_Svensson!$B$4:$B$202,MATCH($A64,Data_Svensson!$A$4:$A$202,1))</f>
        <v>1.217225</v>
      </c>
      <c r="F64" s="28">
        <f>INDEX(Data_Svensson!$C$4:$C$202,MATCH($A64,Data_Svensson!$A$4:$A$202,1))</f>
        <v>0.75448000000000004</v>
      </c>
      <c r="G64" s="28">
        <f>INDEX(Data_Svensson!$D$4:$D$202,MATCH($A64,Data_Svensson!$A$4:$A$202,1))</f>
        <v>-1.5475989999999999</v>
      </c>
      <c r="H64" s="28">
        <f>INDEX(Data_Svensson!$E$4:$E$202,MATCH($A64,Data_Svensson!$A$4:$A$202,1))</f>
        <v>7.7035920000000004</v>
      </c>
      <c r="I64" s="28">
        <f>INDEX(Data_Svensson!$F$4:$F$202,MATCH($A64,Data_Svensson!$A$4:$A$202,1))</f>
        <v>3.7127029999999999</v>
      </c>
      <c r="J64" s="28">
        <f>INDEX(Data_Svensson!$G$4:$G$202,MATCH($A64,Data_Svensson!$A$4:$A$202,1))</f>
        <v>13.166183</v>
      </c>
      <c r="K64" s="28">
        <f t="shared" si="22"/>
        <v>0.81800233145634382</v>
      </c>
      <c r="L64" s="28">
        <f t="shared" si="23"/>
        <v>0.15845016279941071</v>
      </c>
      <c r="M64" s="28">
        <f t="shared" si="24"/>
        <v>5.4285481041194905E-2</v>
      </c>
      <c r="N64" s="29">
        <f t="shared" si="25"/>
        <v>2.007367283004078E-2</v>
      </c>
      <c r="O64" s="29">
        <f t="shared" si="26"/>
        <v>1.407367283004078E-2</v>
      </c>
      <c r="P64" s="28">
        <f t="shared" si="27"/>
        <v>0.59791327542671846</v>
      </c>
      <c r="Q64" s="28">
        <f t="shared" si="28"/>
        <v>-0.43917007261361773</v>
      </c>
      <c r="R64" s="28">
        <f t="shared" si="29"/>
        <v>-0.22145808931106642</v>
      </c>
      <c r="S64" s="28">
        <f t="shared" si="30"/>
        <v>0.85621829432609076</v>
      </c>
      <c r="T64" s="28">
        <f t="shared" si="31"/>
        <v>-1.2632393602814065</v>
      </c>
      <c r="U64" s="28">
        <f t="shared" si="32"/>
        <v>-0.18556297664424953</v>
      </c>
      <c r="V64" s="28">
        <f t="shared" si="33"/>
        <v>704.24666554806527</v>
      </c>
      <c r="W64" s="28">
        <f t="shared" si="34"/>
        <v>493.53615515170338</v>
      </c>
      <c r="X64" s="28">
        <f t="shared" si="35"/>
        <v>-23.481068483521412</v>
      </c>
      <c r="Y64" s="28">
        <f t="shared" si="36"/>
        <v>125.2044321562218</v>
      </c>
      <c r="Z64" s="28">
        <f t="shared" si="37"/>
        <v>62.025009756618658</v>
      </c>
      <c r="AA64" s="28">
        <f t="shared" si="38"/>
        <v>1234.6696781980345</v>
      </c>
      <c r="AB64" s="32">
        <f t="shared" si="39"/>
        <v>1296.6946879546531</v>
      </c>
      <c r="AC64" s="22">
        <f>INDEX(Data_Cert!$E$4:$E$195,MATCH($A64,Data_Cert!$A$4:$A$195,0))</f>
        <v>1490</v>
      </c>
      <c r="AD64" s="22">
        <f t="shared" si="40"/>
        <v>-193.30531204534691</v>
      </c>
      <c r="AE64" s="23">
        <f t="shared" si="41"/>
        <v>-0.12973510875526639</v>
      </c>
      <c r="AF64" s="36">
        <f>Data_Stock!D64</f>
        <v>1307.45</v>
      </c>
    </row>
    <row r="65" spans="1:32" x14ac:dyDescent="0.2">
      <c r="A65" s="35">
        <f>Data_Stock!A65</f>
        <v>45993</v>
      </c>
      <c r="B65" s="36">
        <f>Data_Stock!B65</f>
        <v>1475.25</v>
      </c>
      <c r="C65" s="37">
        <f>Data_Stock!C65</f>
        <v>0.47899999999999998</v>
      </c>
      <c r="D65" s="38">
        <f t="shared" si="21"/>
        <v>1.5424657534246575</v>
      </c>
      <c r="E65" s="28">
        <f>INDEX(Data_Svensson!$B$4:$B$202,MATCH($A65,Data_Svensson!$A$4:$A$202,1))</f>
        <v>1.222308</v>
      </c>
      <c r="F65" s="28">
        <f>INDEX(Data_Svensson!$C$4:$C$202,MATCH($A65,Data_Svensson!$A$4:$A$202,1))</f>
        <v>0.74054600000000004</v>
      </c>
      <c r="G65" s="28">
        <f>INDEX(Data_Svensson!$D$4:$D$202,MATCH($A65,Data_Svensson!$A$4:$A$202,1))</f>
        <v>-0.38531500000000002</v>
      </c>
      <c r="H65" s="28">
        <f>INDEX(Data_Svensson!$E$4:$E$202,MATCH($A65,Data_Svensson!$A$4:$A$202,1))</f>
        <v>7.233231</v>
      </c>
      <c r="I65" s="28">
        <f>INDEX(Data_Svensson!$F$4:$F$202,MATCH($A65,Data_Svensson!$A$4:$A$202,1))</f>
        <v>2.0508299999999999</v>
      </c>
      <c r="J65" s="28">
        <f>INDEX(Data_Svensson!$G$4:$G$202,MATCH($A65,Data_Svensson!$A$4:$A$202,1))</f>
        <v>15.366702999999999</v>
      </c>
      <c r="K65" s="28">
        <f t="shared" si="22"/>
        <v>0.70285900154710734</v>
      </c>
      <c r="L65" s="28">
        <f t="shared" si="23"/>
        <v>0.23149176943750371</v>
      </c>
      <c r="M65" s="28">
        <f t="shared" si="24"/>
        <v>4.6953153428622163E-2</v>
      </c>
      <c r="N65" s="29">
        <f t="shared" si="25"/>
        <v>1.9932331759465585E-2</v>
      </c>
      <c r="O65" s="29">
        <f t="shared" si="26"/>
        <v>1.3932331759465585E-2</v>
      </c>
      <c r="P65" s="28">
        <f t="shared" si="27"/>
        <v>0.59489905440461643</v>
      </c>
      <c r="Q65" s="28">
        <f t="shared" si="28"/>
        <v>-0.43927706138194317</v>
      </c>
      <c r="R65" s="28">
        <f t="shared" si="29"/>
        <v>-0.17797494507818284</v>
      </c>
      <c r="S65" s="28">
        <f t="shared" si="30"/>
        <v>0.90516178479171949</v>
      </c>
      <c r="T65" s="28">
        <f t="shared" si="31"/>
        <v>-1.321151422727902</v>
      </c>
      <c r="U65" s="28">
        <f t="shared" si="32"/>
        <v>-0.23801469285799975</v>
      </c>
      <c r="V65" s="28">
        <f t="shared" si="33"/>
        <v>679.0935151379432</v>
      </c>
      <c r="W65" s="28">
        <f t="shared" si="34"/>
        <v>466.43032569141184</v>
      </c>
      <c r="X65" s="28">
        <f t="shared" si="35"/>
        <v>-20.688709139514359</v>
      </c>
      <c r="Y65" s="28">
        <f t="shared" si="36"/>
        <v>124.11347939922985</v>
      </c>
      <c r="Z65" s="28">
        <f t="shared" si="37"/>
        <v>67.861000907787172</v>
      </c>
      <c r="AA65" s="28">
        <f t="shared" si="38"/>
        <v>1260.3522446658862</v>
      </c>
      <c r="AB65" s="32">
        <f t="shared" si="39"/>
        <v>1328.2132455736735</v>
      </c>
      <c r="AC65" s="22">
        <f>INDEX(Data_Cert!$E$4:$E$195,MATCH($A65,Data_Cert!$A$4:$A$195,0))</f>
        <v>1533.41</v>
      </c>
      <c r="AD65" s="22">
        <f t="shared" si="40"/>
        <v>-205.19675442632661</v>
      </c>
      <c r="AE65" s="23">
        <f t="shared" si="41"/>
        <v>-0.13381727941406837</v>
      </c>
      <c r="AF65" s="36">
        <f>Data_Stock!D65</f>
        <v>1345.44</v>
      </c>
    </row>
    <row r="66" spans="1:32" x14ac:dyDescent="0.2">
      <c r="A66" s="35">
        <f>Data_Stock!A66</f>
        <v>45994</v>
      </c>
      <c r="B66" s="36">
        <f>Data_Stock!B66</f>
        <v>1503.97</v>
      </c>
      <c r="C66" s="37">
        <f>Data_Stock!C66</f>
        <v>0.47099999999999997</v>
      </c>
      <c r="D66" s="38">
        <f t="shared" si="21"/>
        <v>1.5397260273972602</v>
      </c>
      <c r="E66" s="28">
        <f>INDEX(Data_Svensson!$B$4:$B$202,MATCH($A66,Data_Svensson!$A$4:$A$202,1))</f>
        <v>1.2150000000000001</v>
      </c>
      <c r="F66" s="28">
        <f>INDEX(Data_Svensson!$C$4:$C$202,MATCH($A66,Data_Svensson!$A$4:$A$202,1))</f>
        <v>0.743085</v>
      </c>
      <c r="G66" s="28">
        <f>INDEX(Data_Svensson!$D$4:$D$202,MATCH($A66,Data_Svensson!$A$4:$A$202,1))</f>
        <v>-1.0345230000000001</v>
      </c>
      <c r="H66" s="28">
        <f>INDEX(Data_Svensson!$E$4:$E$202,MATCH($A66,Data_Svensson!$A$4:$A$202,1))</f>
        <v>7.4153700000000002</v>
      </c>
      <c r="I66" s="28">
        <f>INDEX(Data_Svensson!$F$4:$F$202,MATCH($A66,Data_Svensson!$A$4:$A$202,1))</f>
        <v>3.164005</v>
      </c>
      <c r="J66" s="28">
        <f>INDEX(Data_Svensson!$G$4:$G$202,MATCH($A66,Data_Svensson!$A$4:$A$202,1))</f>
        <v>14.198180000000001</v>
      </c>
      <c r="K66" s="28">
        <f t="shared" si="22"/>
        <v>0.79178041145212297</v>
      </c>
      <c r="L66" s="28">
        <f t="shared" si="23"/>
        <v>0.17709108810912744</v>
      </c>
      <c r="M66" s="28">
        <f t="shared" si="24"/>
        <v>5.0457438311430458E-2</v>
      </c>
      <c r="N66" s="29">
        <f t="shared" si="25"/>
        <v>1.9943159176314139E-2</v>
      </c>
      <c r="O66" s="29">
        <f t="shared" si="26"/>
        <v>1.3943159176314139E-2</v>
      </c>
      <c r="P66" s="28">
        <f t="shared" si="27"/>
        <v>0.58444363427437174</v>
      </c>
      <c r="Q66" s="28">
        <f t="shared" si="28"/>
        <v>-0.43714796103373976</v>
      </c>
      <c r="R66" s="28">
        <f t="shared" si="29"/>
        <v>-0.15875453283893365</v>
      </c>
      <c r="S66" s="28">
        <f t="shared" si="30"/>
        <v>0.94375900072111341</v>
      </c>
      <c r="T66" s="28">
        <f t="shared" si="31"/>
        <v>-1.3883619518567973</v>
      </c>
      <c r="U66" s="28">
        <f t="shared" si="32"/>
        <v>-0.2858484182967504</v>
      </c>
      <c r="V66" s="28">
        <f t="shared" si="33"/>
        <v>656.93708722705094</v>
      </c>
      <c r="W66" s="28">
        <f t="shared" si="34"/>
        <v>440.3382417979476</v>
      </c>
      <c r="X66" s="28">
        <f t="shared" si="35"/>
        <v>-17.634670526703147</v>
      </c>
      <c r="Y66" s="28">
        <f t="shared" si="36"/>
        <v>124.69429170951264</v>
      </c>
      <c r="Z66" s="28">
        <f t="shared" si="37"/>
        <v>74.269883192887562</v>
      </c>
      <c r="AA66" s="28">
        <f t="shared" si="38"/>
        <v>1282.582252418606</v>
      </c>
      <c r="AB66" s="32">
        <f t="shared" si="39"/>
        <v>1356.8521356114936</v>
      </c>
      <c r="AC66" s="22">
        <f>INDEX(Data_Cert!$E$4:$E$195,MATCH($A66,Data_Cert!$A$4:$A$195,0))</f>
        <v>1558.81</v>
      </c>
      <c r="AD66" s="22">
        <f t="shared" si="40"/>
        <v>-201.95786438850632</v>
      </c>
      <c r="AE66" s="23">
        <f t="shared" si="41"/>
        <v>-0.12955899974243579</v>
      </c>
      <c r="AF66" s="36">
        <f>Data_Stock!D66</f>
        <v>1362.83</v>
      </c>
    </row>
    <row r="67" spans="1:32" x14ac:dyDescent="0.2">
      <c r="A67" s="35">
        <f>Data_Stock!A67</f>
        <v>45995</v>
      </c>
      <c r="B67" s="36">
        <f>Data_Stock!B67</f>
        <v>1524.76</v>
      </c>
      <c r="C67" s="37">
        <f>Data_Stock!C67</f>
        <v>0.45900000000000002</v>
      </c>
      <c r="D67" s="38">
        <f t="shared" si="21"/>
        <v>1.536986301369863</v>
      </c>
      <c r="E67" s="28">
        <f>INDEX(Data_Svensson!$B$4:$B$202,MATCH($A67,Data_Svensson!$A$4:$A$202,1))</f>
        <v>1.221217</v>
      </c>
      <c r="F67" s="28">
        <f>INDEX(Data_Svensson!$C$4:$C$202,MATCH($A67,Data_Svensson!$A$4:$A$202,1))</f>
        <v>0.74377700000000002</v>
      </c>
      <c r="G67" s="28">
        <f>INDEX(Data_Svensson!$D$4:$D$202,MATCH($A67,Data_Svensson!$A$4:$A$202,1))</f>
        <v>-0.97554099999999999</v>
      </c>
      <c r="H67" s="28">
        <f>INDEX(Data_Svensson!$E$4:$E$202,MATCH($A67,Data_Svensson!$A$4:$A$202,1))</f>
        <v>7.4104599999999996</v>
      </c>
      <c r="I67" s="28">
        <f>INDEX(Data_Svensson!$F$4:$F$202,MATCH($A67,Data_Svensson!$A$4:$A$202,1))</f>
        <v>3.181209</v>
      </c>
      <c r="J67" s="28">
        <f>INDEX(Data_Svensson!$G$4:$G$202,MATCH($A67,Data_Svensson!$A$4:$A$202,1))</f>
        <v>14.180324000000001</v>
      </c>
      <c r="K67" s="28">
        <f t="shared" si="22"/>
        <v>0.7930529451705165</v>
      </c>
      <c r="L67" s="28">
        <f t="shared" si="23"/>
        <v>0.17621277936817814</v>
      </c>
      <c r="M67" s="28">
        <f t="shared" si="24"/>
        <v>5.0432967173323573E-2</v>
      </c>
      <c r="N67" s="29">
        <f t="shared" si="25"/>
        <v>2.0129002353217067E-2</v>
      </c>
      <c r="O67" s="29">
        <f t="shared" si="26"/>
        <v>1.4129002353217067E-2</v>
      </c>
      <c r="P67" s="28">
        <f t="shared" si="27"/>
        <v>0.56904640492573544</v>
      </c>
      <c r="Q67" s="28">
        <f t="shared" si="28"/>
        <v>-0.43293651371876407</v>
      </c>
      <c r="R67" s="28">
        <f t="shared" si="29"/>
        <v>-0.15409493958211118</v>
      </c>
      <c r="S67" s="28">
        <f t="shared" si="30"/>
        <v>0.97825035038524466</v>
      </c>
      <c r="T67" s="28">
        <f t="shared" si="31"/>
        <v>-1.465224763886618</v>
      </c>
      <c r="U67" s="28">
        <f t="shared" si="32"/>
        <v>-0.33287947391926193</v>
      </c>
      <c r="V67" s="28">
        <f t="shared" si="33"/>
        <v>635.89451861454336</v>
      </c>
      <c r="W67" s="28">
        <f t="shared" si="34"/>
        <v>413.8736279964225</v>
      </c>
      <c r="X67" s="28">
        <f t="shared" si="35"/>
        <v>-14.541001431481391</v>
      </c>
      <c r="Y67" s="28">
        <f t="shared" si="36"/>
        <v>125.85174962082641</v>
      </c>
      <c r="Z67" s="28">
        <f t="shared" si="37"/>
        <v>81.628139565813058</v>
      </c>
      <c r="AA67" s="28">
        <f t="shared" si="38"/>
        <v>1303.176844534481</v>
      </c>
      <c r="AB67" s="32">
        <f t="shared" si="39"/>
        <v>1384.804984100294</v>
      </c>
      <c r="AC67" s="22">
        <f>INDEX(Data_Cert!$E$4:$E$195,MATCH($A67,Data_Cert!$A$4:$A$195,0))</f>
        <v>1563.18</v>
      </c>
      <c r="AD67" s="22">
        <f t="shared" si="40"/>
        <v>-178.37501589970611</v>
      </c>
      <c r="AE67" s="23">
        <f t="shared" si="41"/>
        <v>-0.11411034935177401</v>
      </c>
      <c r="AF67" s="36">
        <f>Data_Stock!D67</f>
        <v>1397.79</v>
      </c>
    </row>
    <row r="68" spans="1:32" x14ac:dyDescent="0.2">
      <c r="A68" s="35">
        <f>Data_Stock!A68</f>
        <v>45996</v>
      </c>
      <c r="B68" s="36">
        <f>Data_Stock!B68</f>
        <v>1514.36</v>
      </c>
      <c r="C68" s="37">
        <f>Data_Stock!C68</f>
        <v>0.44600000000000001</v>
      </c>
      <c r="D68" s="38">
        <f t="shared" ref="D68:D99" si="42">MAX((MaturityDate-A68)/365,1/365)</f>
        <v>1.5342465753424657</v>
      </c>
      <c r="E68" s="28">
        <f>INDEX(Data_Svensson!$B$4:$B$202,MATCH($A68,Data_Svensson!$A$4:$A$202,1))</f>
        <v>1.227716</v>
      </c>
      <c r="F68" s="28">
        <f>INDEX(Data_Svensson!$C$4:$C$202,MATCH($A68,Data_Svensson!$A$4:$A$202,1))</f>
        <v>0.74429599999999996</v>
      </c>
      <c r="G68" s="28">
        <f>INDEX(Data_Svensson!$D$4:$D$202,MATCH($A68,Data_Svensson!$A$4:$A$202,1))</f>
        <v>-0.488319</v>
      </c>
      <c r="H68" s="28">
        <f>INDEX(Data_Svensson!$E$4:$E$202,MATCH($A68,Data_Svensson!$A$4:$A$202,1))</f>
        <v>7.3247949999999999</v>
      </c>
      <c r="I68" s="28">
        <f>INDEX(Data_Svensson!$F$4:$F$202,MATCH($A68,Data_Svensson!$A$4:$A$202,1))</f>
        <v>2.3569499999999999</v>
      </c>
      <c r="J68" s="28">
        <f>INDEX(Data_Svensson!$G$4:$G$202,MATCH($A68,Data_Svensson!$A$4:$A$202,1))</f>
        <v>15.125037000000001</v>
      </c>
      <c r="K68" s="28">
        <f t="shared" ref="K68:K99" si="43">(1-EXP(-D68/I68))/(D68/I68)</f>
        <v>0.73500397775440651</v>
      </c>
      <c r="L68" s="28">
        <f t="shared" ref="L68:L99" si="44">K68-EXP(-D68/I68)</f>
        <v>0.21345169015084597</v>
      </c>
      <c r="M68" s="28">
        <f t="shared" ref="M68:M99" si="45">(1-EXP(-D68/J68))/(D68/J68)-EXP(-D68/J68)</f>
        <v>4.7415925447512386E-2</v>
      </c>
      <c r="N68" s="29">
        <f t="shared" ref="N68:N99" si="46">(E68+F68*K68+G68*L68+H68*M68)/100</f>
        <v>2.0178559383822341E-2</v>
      </c>
      <c r="O68" s="29">
        <f t="shared" ref="O68:O99" si="47">N68-q</f>
        <v>1.4178559383822341E-2</v>
      </c>
      <c r="P68" s="28">
        <f t="shared" ref="P68:P99" si="48">C68*SQRT(D68)</f>
        <v>0.55243659525851641</v>
      </c>
      <c r="Q68" s="28">
        <f t="shared" ref="Q68:Q99" si="49">(O68-0.5*C68^2)/C68^2</f>
        <v>-0.42872087019735799</v>
      </c>
      <c r="R68" s="28">
        <f t="shared" ref="R68:R99" si="50">LN(B68/Cap)/P68+(1+Q68)*P68</f>
        <v>-0.18790893275234916</v>
      </c>
      <c r="S68" s="28">
        <f t="shared" ref="S68:S99" si="51">LN(B68/Barrier)/P68+(1+Q68)*P68</f>
        <v>0.97848196517319863</v>
      </c>
      <c r="T68" s="28">
        <f t="shared" ref="T68:T99" si="52">LN(Barrier^2/(B68*Cap))/P68+(1+Q68)*P68</f>
        <v>-1.513681868277907</v>
      </c>
      <c r="U68" s="28">
        <f t="shared" ref="U68:U99" si="53">LN(Barrier/B68)/P68+(1+Q68)*P68</f>
        <v>-0.34729097035235917</v>
      </c>
      <c r="V68" s="28">
        <f t="shared" ref="V68:V99" si="54">-B68*EXP((O68-N68)*D68)*NORMSDIST(-R68)+Cap*EXP(-N68*D68)*NORMSDIST(-R68+P68)</f>
        <v>631.86888878804803</v>
      </c>
      <c r="W68" s="28">
        <f t="shared" ref="W68:W99" si="55">-B68*EXP((O68-N68)*D68)*NORMSDIST(-S68)+Cap*EXP(-N68*D68)*NORMSDIST(-S68+P68)</f>
        <v>403.69157798151264</v>
      </c>
      <c r="X68" s="28">
        <f t="shared" ref="X68:X99" si="56">-B68*EXP((O68-N68)*D68)*(Barrier/B68)^(2*(Q68+1))*NORMSDIST(T68)+Cap*EXP(-N68*D68)*(Barrier/B68)^(2*Q68)*NORMSDIST(T68-P68)</f>
        <v>-12.720801408700666</v>
      </c>
      <c r="Y68" s="28">
        <f t="shared" ref="Y68:Y99" si="57">-B68*EXP((O68-N68)*D68)*(Barrier/B68)^(2*(Q68+1))*NORMSDIST(U68)+Cap*EXP(-N68*D68)*(Barrier/B68)^(2*Q68)*NORMSDIST(U68-P68)</f>
        <v>129.12657531271321</v>
      </c>
      <c r="Z68" s="28">
        <f t="shared" ref="Z68:Z99" si="58">IF(B68&lt;=Barrier,0,V68-W68+X68-Y68)</f>
        <v>86.329934085121522</v>
      </c>
      <c r="AA68" s="28">
        <f t="shared" ref="AA68:AA99" si="59">Cap*EXP(-N68*D68)-V68</f>
        <v>1307.1619777577048</v>
      </c>
      <c r="AB68" s="32">
        <f t="shared" ref="AB68:AB99" si="60">AA68+Z68</f>
        <v>1393.4919118428263</v>
      </c>
      <c r="AC68" s="22">
        <f>INDEX(Data_Cert!$E$4:$E$195,MATCH($A68,Data_Cert!$A$4:$A$195,0))</f>
        <v>1561.9</v>
      </c>
      <c r="AD68" s="22">
        <f t="shared" ref="AD68:AD99" si="61">AB68-AC68</f>
        <v>-168.40808815717378</v>
      </c>
      <c r="AE68" s="23">
        <f t="shared" ref="AE68:AE99" si="62">AD68/AC68</f>
        <v>-0.10782258029142312</v>
      </c>
      <c r="AF68" s="36">
        <f>Data_Stock!D68</f>
        <v>1404.78</v>
      </c>
    </row>
    <row r="69" spans="1:32" x14ac:dyDescent="0.2">
      <c r="A69" s="35">
        <f>Data_Stock!A69</f>
        <v>45999</v>
      </c>
      <c r="B69" s="36">
        <f>Data_Stock!B69</f>
        <v>1569.31</v>
      </c>
      <c r="C69" s="37">
        <f>Data_Stock!C69</f>
        <v>0.45400000000000001</v>
      </c>
      <c r="D69" s="38">
        <f t="shared" si="42"/>
        <v>1.526027397260274</v>
      </c>
      <c r="E69" s="28">
        <f>INDEX(Data_Svensson!$B$4:$B$202,MATCH($A69,Data_Svensson!$A$4:$A$202,1))</f>
        <v>1.189109</v>
      </c>
      <c r="F69" s="28">
        <f>INDEX(Data_Svensson!$C$4:$C$202,MATCH($A69,Data_Svensson!$A$4:$A$202,1))</f>
        <v>0.74923799999999996</v>
      </c>
      <c r="G69" s="28">
        <f>INDEX(Data_Svensson!$D$4:$D$202,MATCH($A69,Data_Svensson!$A$4:$A$202,1))</f>
        <v>-0.49503399999999997</v>
      </c>
      <c r="H69" s="28">
        <f>INDEX(Data_Svensson!$E$4:$E$202,MATCH($A69,Data_Svensson!$A$4:$A$202,1))</f>
        <v>7.5432180000000004</v>
      </c>
      <c r="I69" s="28">
        <f>INDEX(Data_Svensson!$F$4:$F$202,MATCH($A69,Data_Svensson!$A$4:$A$202,1))</f>
        <v>3.2417539999999998</v>
      </c>
      <c r="J69" s="28">
        <f>INDEX(Data_Svensson!$G$4:$G$202,MATCH($A69,Data_Svensson!$A$4:$A$202,1))</f>
        <v>14.770030999999999</v>
      </c>
      <c r="K69" s="28">
        <f t="shared" si="43"/>
        <v>0.79759494075440562</v>
      </c>
      <c r="L69" s="28">
        <f t="shared" si="44"/>
        <v>0.17305579666987858</v>
      </c>
      <c r="M69" s="28">
        <f t="shared" si="45"/>
        <v>4.8235449455391377E-2</v>
      </c>
      <c r="N69" s="29">
        <f t="shared" si="46"/>
        <v>2.0648794455422712E-2</v>
      </c>
      <c r="O69" s="29">
        <f t="shared" si="47"/>
        <v>1.4648794455422711E-2</v>
      </c>
      <c r="P69" s="28">
        <f t="shared" si="48"/>
        <v>0.56083746577212434</v>
      </c>
      <c r="Q69" s="28">
        <f t="shared" si="49"/>
        <v>-0.42892936765984829</v>
      </c>
      <c r="R69" s="28">
        <f t="shared" si="50"/>
        <v>-0.11213115903478726</v>
      </c>
      <c r="S69" s="28">
        <f t="shared" si="51"/>
        <v>1.0367881905372045</v>
      </c>
      <c r="T69" s="28">
        <f t="shared" si="52"/>
        <v>-1.5451519276721257</v>
      </c>
      <c r="U69" s="28">
        <f t="shared" si="53"/>
        <v>-0.39623257810013418</v>
      </c>
      <c r="V69" s="28">
        <f t="shared" si="54"/>
        <v>605.61442378685786</v>
      </c>
      <c r="W69" s="28">
        <f t="shared" si="55"/>
        <v>381.31743164608849</v>
      </c>
      <c r="X69" s="28">
        <f t="shared" si="56"/>
        <v>-11.940382355115602</v>
      </c>
      <c r="Y69" s="28">
        <f t="shared" si="57"/>
        <v>123.07972009555181</v>
      </c>
      <c r="Z69" s="28">
        <f t="shared" si="58"/>
        <v>89.276889690101939</v>
      </c>
      <c r="AA69" s="28">
        <f t="shared" si="59"/>
        <v>1332.3468961191661</v>
      </c>
      <c r="AB69" s="32">
        <f t="shared" si="60"/>
        <v>1421.6237858092682</v>
      </c>
      <c r="AC69" s="22">
        <f>INDEX(Data_Cert!$E$4:$E$195,MATCH($A69,Data_Cert!$A$4:$A$195,0))</f>
        <v>1625.5</v>
      </c>
      <c r="AD69" s="22">
        <f t="shared" si="61"/>
        <v>-203.87621419073184</v>
      </c>
      <c r="AE69" s="23">
        <f t="shared" si="62"/>
        <v>-0.12542369375006573</v>
      </c>
      <c r="AF69" s="36">
        <f>Data_Stock!D69</f>
        <v>1439.21</v>
      </c>
    </row>
    <row r="70" spans="1:32" x14ac:dyDescent="0.2">
      <c r="A70" s="35">
        <f>Data_Stock!A70</f>
        <v>46000</v>
      </c>
      <c r="B70" s="36">
        <f>Data_Stock!B70</f>
        <v>1625.25</v>
      </c>
      <c r="C70" s="37">
        <f>Data_Stock!C70</f>
        <v>0.46100000000000002</v>
      </c>
      <c r="D70" s="38">
        <f t="shared" si="42"/>
        <v>1.5232876712328767</v>
      </c>
      <c r="E70" s="28">
        <f>INDEX(Data_Svensson!$B$4:$B$202,MATCH($A70,Data_Svensson!$A$4:$A$202,1))</f>
        <v>1.1884520000000001</v>
      </c>
      <c r="F70" s="28">
        <f>INDEX(Data_Svensson!$C$4:$C$202,MATCH($A70,Data_Svensson!$A$4:$A$202,1))</f>
        <v>0.76356100000000005</v>
      </c>
      <c r="G70" s="28">
        <f>INDEX(Data_Svensson!$D$4:$D$202,MATCH($A70,Data_Svensson!$A$4:$A$202,1))</f>
        <v>-0.52854400000000001</v>
      </c>
      <c r="H70" s="28">
        <f>INDEX(Data_Svensson!$E$4:$E$202,MATCH($A70,Data_Svensson!$A$4:$A$202,1))</f>
        <v>7.544327</v>
      </c>
      <c r="I70" s="28">
        <f>INDEX(Data_Svensson!$F$4:$F$202,MATCH($A70,Data_Svensson!$A$4:$A$202,1))</f>
        <v>3.230972</v>
      </c>
      <c r="J70" s="28">
        <f>INDEX(Data_Svensson!$G$4:$G$202,MATCH($A70,Data_Svensson!$A$4:$A$202,1))</f>
        <v>14.772251000000001</v>
      </c>
      <c r="K70" s="28">
        <f t="shared" si="43"/>
        <v>0.7973292312466389</v>
      </c>
      <c r="L70" s="28">
        <f t="shared" si="44"/>
        <v>0.17324142976510093</v>
      </c>
      <c r="M70" s="28">
        <f t="shared" si="45"/>
        <v>4.8148010167292199E-2</v>
      </c>
      <c r="N70" s="29">
        <f t="shared" si="46"/>
        <v>2.0689401199875265E-2</v>
      </c>
      <c r="O70" s="29">
        <f t="shared" si="47"/>
        <v>1.4689401199875265E-2</v>
      </c>
      <c r="P70" s="28">
        <f t="shared" si="48"/>
        <v>0.56897330269361701</v>
      </c>
      <c r="Q70" s="28">
        <f t="shared" si="49"/>
        <v>-0.43088023677718784</v>
      </c>
      <c r="R70" s="28">
        <f t="shared" si="50"/>
        <v>-4.0852597147982728E-2</v>
      </c>
      <c r="S70" s="28">
        <f t="shared" si="51"/>
        <v>1.0916381776212671</v>
      </c>
      <c r="T70" s="28">
        <f t="shared" si="52"/>
        <v>-1.5765010497723317</v>
      </c>
      <c r="U70" s="28">
        <f t="shared" si="53"/>
        <v>-0.4440102750030816</v>
      </c>
      <c r="V70" s="28">
        <f t="shared" si="54"/>
        <v>581.31706160071792</v>
      </c>
      <c r="W70" s="28">
        <f t="shared" si="55"/>
        <v>361.12294561846147</v>
      </c>
      <c r="X70" s="28">
        <f t="shared" si="56"/>
        <v>-11.213809879354145</v>
      </c>
      <c r="Y70" s="28">
        <f t="shared" si="57"/>
        <v>117.43499298142603</v>
      </c>
      <c r="Z70" s="28">
        <f t="shared" si="58"/>
        <v>91.545313121476283</v>
      </c>
      <c r="AA70" s="28">
        <f t="shared" si="59"/>
        <v>1356.6340186997954</v>
      </c>
      <c r="AB70" s="32">
        <f t="shared" si="60"/>
        <v>1448.1793318212717</v>
      </c>
      <c r="AC70" s="22">
        <f>INDEX(Data_Cert!$E$4:$E$195,MATCH($A70,Data_Cert!$A$4:$A$195,0))</f>
        <v>1646.4</v>
      </c>
      <c r="AD70" s="22">
        <f t="shared" si="61"/>
        <v>-198.22066817872837</v>
      </c>
      <c r="AE70" s="23">
        <f t="shared" si="62"/>
        <v>-0.12039642139135591</v>
      </c>
      <c r="AF70" s="36">
        <f>Data_Stock!D70</f>
        <v>1450.91</v>
      </c>
    </row>
    <row r="71" spans="1:32" x14ac:dyDescent="0.2">
      <c r="A71" s="35">
        <f>Data_Stock!A71</f>
        <v>46001</v>
      </c>
      <c r="B71" s="36">
        <f>Data_Stock!B71</f>
        <v>1594.07</v>
      </c>
      <c r="C71" s="37">
        <f>Data_Stock!C71</f>
        <v>0.45300000000000001</v>
      </c>
      <c r="D71" s="38">
        <f t="shared" si="42"/>
        <v>1.5205479452054795</v>
      </c>
      <c r="E71" s="28">
        <f>INDEX(Data_Svensson!$B$4:$B$202,MATCH($A71,Data_Svensson!$A$4:$A$202,1))</f>
        <v>1.1725840000000001</v>
      </c>
      <c r="F71" s="28">
        <f>INDEX(Data_Svensson!$C$4:$C$202,MATCH($A71,Data_Svensson!$A$4:$A$202,1))</f>
        <v>0.76314700000000002</v>
      </c>
      <c r="G71" s="28">
        <f>INDEX(Data_Svensson!$D$4:$D$202,MATCH($A71,Data_Svensson!$A$4:$A$202,1))</f>
        <v>-0.38673999999999997</v>
      </c>
      <c r="H71" s="28">
        <f>INDEX(Data_Svensson!$E$4:$E$202,MATCH($A71,Data_Svensson!$A$4:$A$202,1))</f>
        <v>7.533944</v>
      </c>
      <c r="I71" s="28">
        <f>INDEX(Data_Svensson!$F$4:$F$202,MATCH($A71,Data_Svensson!$A$4:$A$202,1))</f>
        <v>3.4299650000000002</v>
      </c>
      <c r="J71" s="28">
        <f>INDEX(Data_Svensson!$G$4:$G$202,MATCH($A71,Data_Svensson!$A$4:$A$202,1))</f>
        <v>14.997863000000001</v>
      </c>
      <c r="K71" s="28">
        <f t="shared" si="43"/>
        <v>0.80776730492503002</v>
      </c>
      <c r="L71" s="28">
        <f t="shared" si="44"/>
        <v>0.16586102183115659</v>
      </c>
      <c r="M71" s="28">
        <f t="shared" si="45"/>
        <v>4.7392708900844238E-2</v>
      </c>
      <c r="N71" s="29">
        <f t="shared" si="46"/>
        <v>2.0819381187359026E-2</v>
      </c>
      <c r="O71" s="29">
        <f t="shared" si="47"/>
        <v>1.4819381187359025E-2</v>
      </c>
      <c r="P71" s="28">
        <f t="shared" si="48"/>
        <v>0.55859656576788164</v>
      </c>
      <c r="Q71" s="28">
        <f t="shared" si="49"/>
        <v>-0.42778396080406306</v>
      </c>
      <c r="R71" s="28">
        <f t="shared" si="50"/>
        <v>-8.6481099560994978E-2</v>
      </c>
      <c r="S71" s="28">
        <f t="shared" si="51"/>
        <v>1.0670473248480237</v>
      </c>
      <c r="T71" s="28">
        <f t="shared" si="52"/>
        <v>-1.5812999205127427</v>
      </c>
      <c r="U71" s="28">
        <f t="shared" si="53"/>
        <v>-0.427771496103724</v>
      </c>
      <c r="V71" s="28">
        <f t="shared" si="54"/>
        <v>590.74369297904582</v>
      </c>
      <c r="W71" s="28">
        <f t="shared" si="55"/>
        <v>366.2509192916678</v>
      </c>
      <c r="X71" s="28">
        <f t="shared" si="56"/>
        <v>-10.926724372425731</v>
      </c>
      <c r="Y71" s="28">
        <f t="shared" si="57"/>
        <v>121.02436691456916</v>
      </c>
      <c r="Z71" s="28">
        <f t="shared" si="58"/>
        <v>92.541682400383138</v>
      </c>
      <c r="AA71" s="28">
        <f t="shared" si="59"/>
        <v>1346.9342378106412</v>
      </c>
      <c r="AB71" s="32">
        <f t="shared" si="60"/>
        <v>1439.4759202110245</v>
      </c>
      <c r="AC71" s="22">
        <f>INDEX(Data_Cert!$E$4:$E$195,MATCH($A71,Data_Cert!$A$4:$A$195,0))</f>
        <v>1624.96</v>
      </c>
      <c r="AD71" s="22">
        <f t="shared" si="61"/>
        <v>-185.48407978897558</v>
      </c>
      <c r="AE71" s="23">
        <f t="shared" si="62"/>
        <v>-0.11414685886974177</v>
      </c>
      <c r="AF71" s="36">
        <f>Data_Stock!D71</f>
        <v>1447.95</v>
      </c>
    </row>
    <row r="72" spans="1:32" x14ac:dyDescent="0.2">
      <c r="A72" s="35">
        <f>Data_Stock!A72</f>
        <v>46002</v>
      </c>
      <c r="B72" s="36">
        <f>Data_Stock!B72</f>
        <v>1586.64</v>
      </c>
      <c r="C72" s="37">
        <f>Data_Stock!C72</f>
        <v>0.44</v>
      </c>
      <c r="D72" s="38">
        <f t="shared" si="42"/>
        <v>1.5178082191780822</v>
      </c>
      <c r="E72" s="28">
        <f>INDEX(Data_Svensson!$B$4:$B$202,MATCH($A72,Data_Svensson!$A$4:$A$202,1))</f>
        <v>1.177888</v>
      </c>
      <c r="F72" s="28">
        <f>INDEX(Data_Svensson!$C$4:$C$202,MATCH($A72,Data_Svensson!$A$4:$A$202,1))</f>
        <v>0.76773599999999997</v>
      </c>
      <c r="G72" s="28">
        <f>INDEX(Data_Svensson!$D$4:$D$202,MATCH($A72,Data_Svensson!$A$4:$A$202,1))</f>
        <v>-0.62878299999999998</v>
      </c>
      <c r="H72" s="28">
        <f>INDEX(Data_Svensson!$E$4:$E$202,MATCH($A72,Data_Svensson!$A$4:$A$202,1))</f>
        <v>7.5545030000000004</v>
      </c>
      <c r="I72" s="28">
        <f>INDEX(Data_Svensson!$F$4:$F$202,MATCH($A72,Data_Svensson!$A$4:$A$202,1))</f>
        <v>3.679945</v>
      </c>
      <c r="J72" s="28">
        <f>INDEX(Data_Svensson!$G$4:$G$202,MATCH($A72,Data_Svensson!$A$4:$A$202,1))</f>
        <v>14.614706999999999</v>
      </c>
      <c r="K72" s="28">
        <f t="shared" si="43"/>
        <v>0.81942796783411065</v>
      </c>
      <c r="L72" s="28">
        <f t="shared" si="44"/>
        <v>0.1574043518841457</v>
      </c>
      <c r="M72" s="28">
        <f t="shared" si="45"/>
        <v>4.8468373569108714E-2</v>
      </c>
      <c r="N72" s="29">
        <f t="shared" si="46"/>
        <v>2.0741736432552726E-2</v>
      </c>
      <c r="O72" s="29">
        <f t="shared" si="47"/>
        <v>1.4741736432552726E-2</v>
      </c>
      <c r="P72" s="28">
        <f t="shared" si="48"/>
        <v>0.54207718198876143</v>
      </c>
      <c r="Q72" s="28">
        <f t="shared" si="49"/>
        <v>-0.4238546671872277</v>
      </c>
      <c r="R72" s="28">
        <f t="shared" si="50"/>
        <v>-0.11479849286704752</v>
      </c>
      <c r="S72" s="28">
        <f t="shared" si="51"/>
        <v>1.0738828200532082</v>
      </c>
      <c r="T72" s="28">
        <f t="shared" si="52"/>
        <v>-1.6379336561192144</v>
      </c>
      <c r="U72" s="28">
        <f t="shared" si="53"/>
        <v>-0.44925234319895879</v>
      </c>
      <c r="V72" s="28">
        <f t="shared" si="54"/>
        <v>584.62430423542219</v>
      </c>
      <c r="W72" s="28">
        <f t="shared" si="55"/>
        <v>354.04878548053972</v>
      </c>
      <c r="X72" s="28">
        <f t="shared" si="56"/>
        <v>-9.3265015946696579</v>
      </c>
      <c r="Y72" s="28">
        <f t="shared" si="57"/>
        <v>122.96791422985785</v>
      </c>
      <c r="Z72" s="28">
        <f t="shared" si="58"/>
        <v>98.281102930354962</v>
      </c>
      <c r="AA72" s="28">
        <f t="shared" si="59"/>
        <v>1353.3925352244219</v>
      </c>
      <c r="AB72" s="32">
        <f t="shared" si="60"/>
        <v>1451.6736381547769</v>
      </c>
      <c r="AC72" s="22">
        <f>INDEX(Data_Cert!$E$4:$E$195,MATCH($A72,Data_Cert!$A$4:$A$195,0))</f>
        <v>1624</v>
      </c>
      <c r="AD72" s="22">
        <f t="shared" si="61"/>
        <v>-172.32636184522312</v>
      </c>
      <c r="AE72" s="23">
        <f t="shared" si="62"/>
        <v>-0.10611229177661521</v>
      </c>
      <c r="AF72" s="36">
        <f>Data_Stock!D72</f>
        <v>1456.55</v>
      </c>
    </row>
    <row r="73" spans="1:32" x14ac:dyDescent="0.2">
      <c r="A73" s="35">
        <f>Data_Stock!A73</f>
        <v>46003</v>
      </c>
      <c r="B73" s="36">
        <f>Data_Stock!B73</f>
        <v>1600.01</v>
      </c>
      <c r="C73" s="37">
        <f>Data_Stock!C73</f>
        <v>0.42799999999999999</v>
      </c>
      <c r="D73" s="38">
        <f t="shared" si="42"/>
        <v>1.515068493150685</v>
      </c>
      <c r="E73" s="28">
        <f>INDEX(Data_Svensson!$B$4:$B$202,MATCH($A73,Data_Svensson!$A$4:$A$202,1))</f>
        <v>1.1877279999999999</v>
      </c>
      <c r="F73" s="28">
        <f>INDEX(Data_Svensson!$C$4:$C$202,MATCH($A73,Data_Svensson!$A$4:$A$202,1))</f>
        <v>0.74818799999999996</v>
      </c>
      <c r="G73" s="28">
        <f>INDEX(Data_Svensson!$D$4:$D$202,MATCH($A73,Data_Svensson!$A$4:$A$202,1))</f>
        <v>-0.72710600000000003</v>
      </c>
      <c r="H73" s="28">
        <f>INDEX(Data_Svensson!$E$4:$E$202,MATCH($A73,Data_Svensson!$A$4:$A$202,1))</f>
        <v>7.7043600000000003</v>
      </c>
      <c r="I73" s="28">
        <f>INDEX(Data_Svensson!$F$4:$F$202,MATCH($A73,Data_Svensson!$A$4:$A$202,1))</f>
        <v>3.901659</v>
      </c>
      <c r="J73" s="28">
        <f>INDEX(Data_Svensson!$G$4:$G$202,MATCH($A73,Data_Svensson!$A$4:$A$202,1))</f>
        <v>14.454715</v>
      </c>
      <c r="K73" s="28">
        <f t="shared" si="43"/>
        <v>0.82871247780580415</v>
      </c>
      <c r="L73" s="28">
        <f t="shared" si="44"/>
        <v>0.15051306699220157</v>
      </c>
      <c r="M73" s="28">
        <f t="shared" si="45"/>
        <v>4.8885367429654325E-2</v>
      </c>
      <c r="N73" s="29">
        <f t="shared" si="46"/>
        <v>2.0749522466664685E-2</v>
      </c>
      <c r="O73" s="29">
        <f t="shared" si="47"/>
        <v>1.4749522466664685E-2</v>
      </c>
      <c r="P73" s="28">
        <f t="shared" si="48"/>
        <v>0.52681714745186026</v>
      </c>
      <c r="Q73" s="28">
        <f t="shared" si="49"/>
        <v>-0.41948247408799522</v>
      </c>
      <c r="R73" s="28">
        <f t="shared" si="50"/>
        <v>-0.11773081311194245</v>
      </c>
      <c r="S73" s="28">
        <f t="shared" si="51"/>
        <v>1.1053824046471543</v>
      </c>
      <c r="T73" s="28">
        <f t="shared" si="52"/>
        <v>-1.7168424483127034</v>
      </c>
      <c r="U73" s="28">
        <f t="shared" si="53"/>
        <v>-0.49372923055360679</v>
      </c>
      <c r="V73" s="28">
        <f t="shared" si="54"/>
        <v>567.88992374102611</v>
      </c>
      <c r="W73" s="28">
        <f t="shared" si="55"/>
        <v>332.21337028525664</v>
      </c>
      <c r="X73" s="28">
        <f t="shared" si="56"/>
        <v>-7.5166501317637753</v>
      </c>
      <c r="Y73" s="28">
        <f t="shared" si="57"/>
        <v>122.12309765919821</v>
      </c>
      <c r="Z73" s="28">
        <f t="shared" si="58"/>
        <v>106.03680566480747</v>
      </c>
      <c r="AA73" s="28">
        <f t="shared" si="59"/>
        <v>1370.2141871637832</v>
      </c>
      <c r="AB73" s="32">
        <f t="shared" si="60"/>
        <v>1476.2509928285906</v>
      </c>
      <c r="AC73" s="22">
        <f>INDEX(Data_Cert!$E$4:$E$195,MATCH($A73,Data_Cert!$A$4:$A$195,0))</f>
        <v>1632.55</v>
      </c>
      <c r="AD73" s="22">
        <f t="shared" si="61"/>
        <v>-156.29900717140936</v>
      </c>
      <c r="AE73" s="23">
        <f t="shared" si="62"/>
        <v>-9.5739185428568407E-2</v>
      </c>
      <c r="AF73" s="36">
        <f>Data_Stock!D73</f>
        <v>1489.83</v>
      </c>
    </row>
    <row r="74" spans="1:32" x14ac:dyDescent="0.2">
      <c r="A74" s="35">
        <f>Data_Stock!A74</f>
        <v>46006</v>
      </c>
      <c r="B74" s="36">
        <f>Data_Stock!B74</f>
        <v>1557.93</v>
      </c>
      <c r="C74" s="37">
        <f>Data_Stock!C74</f>
        <v>0.42699999999999999</v>
      </c>
      <c r="D74" s="38">
        <f t="shared" si="42"/>
        <v>1.5068493150684932</v>
      </c>
      <c r="E74" s="28">
        <f>INDEX(Data_Svensson!$B$4:$B$202,MATCH($A74,Data_Svensson!$A$4:$A$202,1))</f>
        <v>1.1920040000000001</v>
      </c>
      <c r="F74" s="28">
        <f>INDEX(Data_Svensson!$C$4:$C$202,MATCH($A74,Data_Svensson!$A$4:$A$202,1))</f>
        <v>0.75171200000000005</v>
      </c>
      <c r="G74" s="28">
        <f>INDEX(Data_Svensson!$D$4:$D$202,MATCH($A74,Data_Svensson!$A$4:$A$202,1))</f>
        <v>-0.67563700000000004</v>
      </c>
      <c r="H74" s="28">
        <f>INDEX(Data_Svensson!$E$4:$E$202,MATCH($A74,Data_Svensson!$A$4:$A$202,1))</f>
        <v>7.5643339999999997</v>
      </c>
      <c r="I74" s="28">
        <f>INDEX(Data_Svensson!$F$4:$F$202,MATCH($A74,Data_Svensson!$A$4:$A$202,1))</f>
        <v>3.6635469999999999</v>
      </c>
      <c r="J74" s="28">
        <f>INDEX(Data_Svensson!$G$4:$G$202,MATCH($A74,Data_Svensson!$A$4:$A$202,1))</f>
        <v>14.621366</v>
      </c>
      <c r="K74" s="28">
        <f t="shared" si="43"/>
        <v>0.81986516895839534</v>
      </c>
      <c r="L74" s="28">
        <f t="shared" si="44"/>
        <v>0.157082971348667</v>
      </c>
      <c r="M74" s="28">
        <f t="shared" si="45"/>
        <v>4.8121840999376553E-2</v>
      </c>
      <c r="N74" s="29">
        <f t="shared" si="46"/>
        <v>2.0661850963891323E-2</v>
      </c>
      <c r="O74" s="29">
        <f t="shared" si="47"/>
        <v>1.4661850963891323E-2</v>
      </c>
      <c r="P74" s="28">
        <f t="shared" si="48"/>
        <v>0.52415868662755483</v>
      </c>
      <c r="Q74" s="28">
        <f t="shared" si="49"/>
        <v>-0.41958574355208816</v>
      </c>
      <c r="R74" s="28">
        <f t="shared" si="50"/>
        <v>-0.17232338479863862</v>
      </c>
      <c r="S74" s="28">
        <f t="shared" si="51"/>
        <v>1.0569932951104868</v>
      </c>
      <c r="T74" s="28">
        <f t="shared" si="52"/>
        <v>-1.6778516263003191</v>
      </c>
      <c r="U74" s="28">
        <f t="shared" si="53"/>
        <v>-0.44853494639119429</v>
      </c>
      <c r="V74" s="28">
        <f t="shared" si="54"/>
        <v>589.89557643435273</v>
      </c>
      <c r="W74" s="28">
        <f t="shared" si="55"/>
        <v>351.67073716089499</v>
      </c>
      <c r="X74" s="28">
        <f t="shared" si="56"/>
        <v>-8.2517672555305452</v>
      </c>
      <c r="Y74" s="28">
        <f t="shared" si="57"/>
        <v>127.17029717980199</v>
      </c>
      <c r="Z74" s="28">
        <f t="shared" si="58"/>
        <v>102.8027748381252</v>
      </c>
      <c r="AA74" s="28">
        <f t="shared" si="59"/>
        <v>1348.7951938710576</v>
      </c>
      <c r="AB74" s="32">
        <f t="shared" si="60"/>
        <v>1451.5979687091829</v>
      </c>
      <c r="AC74" s="22">
        <f>INDEX(Data_Cert!$E$4:$E$195,MATCH($A74,Data_Cert!$A$4:$A$195,0))</f>
        <v>1571.76</v>
      </c>
      <c r="AD74" s="22">
        <f t="shared" si="61"/>
        <v>-120.16203129081714</v>
      </c>
      <c r="AE74" s="23">
        <f t="shared" si="62"/>
        <v>-7.6450623053657768E-2</v>
      </c>
      <c r="AF74" s="36">
        <f>Data_Stock!D74</f>
        <v>1458.66</v>
      </c>
    </row>
    <row r="75" spans="1:32" x14ac:dyDescent="0.2">
      <c r="A75" s="35">
        <f>Data_Stock!A75</f>
        <v>46007</v>
      </c>
      <c r="B75" s="36">
        <f>Data_Stock!B75</f>
        <v>1487.14</v>
      </c>
      <c r="C75" s="37">
        <f>Data_Stock!C75</f>
        <v>0.45200000000000001</v>
      </c>
      <c r="D75" s="38">
        <f t="shared" si="42"/>
        <v>1.5041095890410958</v>
      </c>
      <c r="E75" s="28">
        <f>INDEX(Data_Svensson!$B$4:$B$202,MATCH($A75,Data_Svensson!$A$4:$A$202,1))</f>
        <v>1.1878919999999999</v>
      </c>
      <c r="F75" s="28">
        <f>INDEX(Data_Svensson!$C$4:$C$202,MATCH($A75,Data_Svensson!$A$4:$A$202,1))</f>
        <v>0.73751800000000001</v>
      </c>
      <c r="G75" s="28">
        <f>INDEX(Data_Svensson!$D$4:$D$202,MATCH($A75,Data_Svensson!$A$4:$A$202,1))</f>
        <v>-0.74939500000000003</v>
      </c>
      <c r="H75" s="28">
        <f>INDEX(Data_Svensson!$E$4:$E$202,MATCH($A75,Data_Svensson!$A$4:$A$202,1))</f>
        <v>7.7052269999999998</v>
      </c>
      <c r="I75" s="28">
        <f>INDEX(Data_Svensson!$F$4:$F$202,MATCH($A75,Data_Svensson!$A$4:$A$202,1))</f>
        <v>3.8895949999999999</v>
      </c>
      <c r="J75" s="28">
        <f>INDEX(Data_Svensson!$G$4:$G$202,MATCH($A75,Data_Svensson!$A$4:$A$202,1))</f>
        <v>14.452475</v>
      </c>
      <c r="K75" s="28">
        <f t="shared" si="43"/>
        <v>0.82933804924430554</v>
      </c>
      <c r="L75" s="28">
        <f t="shared" si="44"/>
        <v>0.150043755731741</v>
      </c>
      <c r="M75" s="28">
        <f t="shared" si="45"/>
        <v>4.8563095223223884E-2</v>
      </c>
      <c r="N75" s="29">
        <f t="shared" si="46"/>
        <v>2.0612913715935294E-2</v>
      </c>
      <c r="O75" s="29">
        <f t="shared" si="47"/>
        <v>1.4612913715935294E-2</v>
      </c>
      <c r="P75" s="28">
        <f t="shared" si="48"/>
        <v>0.554342498352284</v>
      </c>
      <c r="Q75" s="28">
        <f t="shared" si="49"/>
        <v>-0.42847465680586144</v>
      </c>
      <c r="R75" s="28">
        <f t="shared" si="50"/>
        <v>-0.21767254395032254</v>
      </c>
      <c r="S75" s="28">
        <f t="shared" si="51"/>
        <v>0.94470814723930574</v>
      </c>
      <c r="T75" s="28">
        <f t="shared" si="52"/>
        <v>-1.4734472651931636</v>
      </c>
      <c r="U75" s="28">
        <f t="shared" si="53"/>
        <v>-0.31106657400353532</v>
      </c>
      <c r="V75" s="28">
        <f t="shared" si="54"/>
        <v>648.40600031754741</v>
      </c>
      <c r="W75" s="28">
        <f t="shared" si="55"/>
        <v>420.92490827263163</v>
      </c>
      <c r="X75" s="28">
        <f t="shared" si="56"/>
        <v>-13.985386814806887</v>
      </c>
      <c r="Y75" s="28">
        <f t="shared" si="57"/>
        <v>131.22579312610287</v>
      </c>
      <c r="Z75" s="28">
        <f t="shared" si="58"/>
        <v>82.269912104006039</v>
      </c>
      <c r="AA75" s="28">
        <f t="shared" si="59"/>
        <v>1290.5372326454744</v>
      </c>
      <c r="AB75" s="32">
        <f t="shared" si="60"/>
        <v>1372.8071447494804</v>
      </c>
      <c r="AC75" s="22">
        <f>INDEX(Data_Cert!$E$4:$E$195,MATCH($A75,Data_Cert!$A$4:$A$195,0))</f>
        <v>1546.92</v>
      </c>
      <c r="AD75" s="22">
        <f t="shared" si="61"/>
        <v>-174.11285525051971</v>
      </c>
      <c r="AE75" s="23">
        <f t="shared" si="62"/>
        <v>-0.11255453110084536</v>
      </c>
      <c r="AF75" s="36">
        <f>Data_Stock!D75</f>
        <v>1375.03</v>
      </c>
    </row>
    <row r="76" spans="1:32" x14ac:dyDescent="0.2">
      <c r="A76" s="35">
        <f>Data_Stock!A76</f>
        <v>46008</v>
      </c>
      <c r="B76" s="36">
        <f>Data_Stock!B76</f>
        <v>1511.89</v>
      </c>
      <c r="C76" s="37">
        <f>Data_Stock!C76</f>
        <v>0.443</v>
      </c>
      <c r="D76" s="38">
        <f t="shared" si="42"/>
        <v>1.5013698630136987</v>
      </c>
      <c r="E76" s="28">
        <f>INDEX(Data_Svensson!$B$4:$B$202,MATCH($A76,Data_Svensson!$A$4:$A$202,1))</f>
        <v>1.18672</v>
      </c>
      <c r="F76" s="28">
        <f>INDEX(Data_Svensson!$C$4:$C$202,MATCH($A76,Data_Svensson!$A$4:$A$202,1))</f>
        <v>0.74152799999999996</v>
      </c>
      <c r="G76" s="28">
        <f>INDEX(Data_Svensson!$D$4:$D$202,MATCH($A76,Data_Svensson!$A$4:$A$202,1))</f>
        <v>-0.68184800000000001</v>
      </c>
      <c r="H76" s="28">
        <f>INDEX(Data_Svensson!$E$4:$E$202,MATCH($A76,Data_Svensson!$A$4:$A$202,1))</f>
        <v>7.6715499999999999</v>
      </c>
      <c r="I76" s="28">
        <f>INDEX(Data_Svensson!$F$4:$F$202,MATCH($A76,Data_Svensson!$A$4:$A$202,1))</f>
        <v>3.4861939999999998</v>
      </c>
      <c r="J76" s="28">
        <f>INDEX(Data_Svensson!$G$4:$G$202,MATCH($A76,Data_Svensson!$A$4:$A$202,1))</f>
        <v>14.382561000000001</v>
      </c>
      <c r="K76" s="28">
        <f t="shared" si="43"/>
        <v>0.81251994797131011</v>
      </c>
      <c r="L76" s="28">
        <f t="shared" si="44"/>
        <v>0.16244108345074226</v>
      </c>
      <c r="M76" s="28">
        <f t="shared" si="45"/>
        <v>4.870012244697508E-2</v>
      </c>
      <c r="N76" s="29">
        <f t="shared" si="46"/>
        <v>2.0520715884686392E-2</v>
      </c>
      <c r="O76" s="29">
        <f t="shared" si="47"/>
        <v>1.4520715884686392E-2</v>
      </c>
      <c r="P76" s="28">
        <f t="shared" si="48"/>
        <v>0.54280966668490283</v>
      </c>
      <c r="Q76" s="28">
        <f t="shared" si="49"/>
        <v>-0.42600871400778401</v>
      </c>
      <c r="R76" s="28">
        <f t="shared" si="50"/>
        <v>-0.20387353288267979</v>
      </c>
      <c r="S76" s="28">
        <f t="shared" si="51"/>
        <v>0.98320373551931772</v>
      </c>
      <c r="T76" s="28">
        <f t="shared" si="52"/>
        <v>-1.547144966662368</v>
      </c>
      <c r="U76" s="28">
        <f t="shared" si="53"/>
        <v>-0.36006769826037072</v>
      </c>
      <c r="V76" s="28">
        <f t="shared" si="54"/>
        <v>627.68665426433279</v>
      </c>
      <c r="W76" s="28">
        <f t="shared" si="55"/>
        <v>395.77940607175822</v>
      </c>
      <c r="X76" s="28">
        <f t="shared" si="56"/>
        <v>-11.61084971905143</v>
      </c>
      <c r="Y76" s="28">
        <f t="shared" si="57"/>
        <v>130.61369143745287</v>
      </c>
      <c r="Z76" s="28">
        <f t="shared" si="58"/>
        <v>89.682707036070269</v>
      </c>
      <c r="AA76" s="28">
        <f t="shared" si="59"/>
        <v>1311.6345093218015</v>
      </c>
      <c r="AB76" s="32">
        <f t="shared" si="60"/>
        <v>1401.3172163578718</v>
      </c>
      <c r="AC76" s="22">
        <f>INDEX(Data_Cert!$E$4:$E$195,MATCH($A76,Data_Cert!$A$4:$A$195,0))</f>
        <v>1577.37</v>
      </c>
      <c r="AD76" s="22">
        <f t="shared" si="61"/>
        <v>-176.05278364212813</v>
      </c>
      <c r="AE76" s="23">
        <f t="shared" si="62"/>
        <v>-0.11161159629137625</v>
      </c>
      <c r="AF76" s="36">
        <f>Data_Stock!D76</f>
        <v>1410.32</v>
      </c>
    </row>
    <row r="77" spans="1:32" x14ac:dyDescent="0.2">
      <c r="A77" s="35">
        <f>Data_Stock!A77</f>
        <v>46009</v>
      </c>
      <c r="B77" s="36">
        <f>Data_Stock!B77</f>
        <v>1534.66</v>
      </c>
      <c r="C77" s="37">
        <f>Data_Stock!C77</f>
        <v>0.433</v>
      </c>
      <c r="D77" s="38">
        <f t="shared" si="42"/>
        <v>1.4986301369863013</v>
      </c>
      <c r="E77" s="28">
        <f>INDEX(Data_Svensson!$B$4:$B$202,MATCH($A77,Data_Svensson!$A$4:$A$202,1))</f>
        <v>1.1942140000000001</v>
      </c>
      <c r="F77" s="28">
        <f>INDEX(Data_Svensson!$C$4:$C$202,MATCH($A77,Data_Svensson!$A$4:$A$202,1))</f>
        <v>0.75084099999999998</v>
      </c>
      <c r="G77" s="28">
        <f>INDEX(Data_Svensson!$D$4:$D$202,MATCH($A77,Data_Svensson!$A$4:$A$202,1))</f>
        <v>0.183971</v>
      </c>
      <c r="H77" s="28">
        <f>INDEX(Data_Svensson!$E$4:$E$202,MATCH($A77,Data_Svensson!$A$4:$A$202,1))</f>
        <v>7.600841</v>
      </c>
      <c r="I77" s="28">
        <f>INDEX(Data_Svensson!$F$4:$F$202,MATCH($A77,Data_Svensson!$A$4:$A$202,1))</f>
        <v>1.3823510000000001</v>
      </c>
      <c r="J77" s="28">
        <f>INDEX(Data_Svensson!$G$4:$G$202,MATCH($A77,Data_Svensson!$A$4:$A$202,1))</f>
        <v>15.308368</v>
      </c>
      <c r="K77" s="28">
        <f t="shared" si="43"/>
        <v>0.61045046911539358</v>
      </c>
      <c r="L77" s="28">
        <f t="shared" si="44"/>
        <v>0.27225016409427666</v>
      </c>
      <c r="M77" s="28">
        <f t="shared" si="45"/>
        <v>4.5867793797637613E-2</v>
      </c>
      <c r="N77" s="29">
        <f t="shared" si="46"/>
        <v>2.0512851832962892E-2</v>
      </c>
      <c r="O77" s="29">
        <f t="shared" si="47"/>
        <v>1.4512851832962892E-2</v>
      </c>
      <c r="P77" s="28">
        <f t="shared" si="48"/>
        <v>0.5300723212481715</v>
      </c>
      <c r="Q77" s="28">
        <f t="shared" si="49"/>
        <v>-0.42259358238103095</v>
      </c>
      <c r="R77" s="28">
        <f t="shared" si="50"/>
        <v>-0.19355961122003962</v>
      </c>
      <c r="S77" s="28">
        <f t="shared" si="51"/>
        <v>1.0220424690267338</v>
      </c>
      <c r="T77" s="28">
        <f t="shared" si="52"/>
        <v>-1.6255102290917514</v>
      </c>
      <c r="U77" s="28">
        <f t="shared" si="53"/>
        <v>-0.409908148844978</v>
      </c>
      <c r="V77" s="28">
        <f t="shared" si="54"/>
        <v>607.19210591047488</v>
      </c>
      <c r="W77" s="28">
        <f t="shared" si="55"/>
        <v>370.60822506829516</v>
      </c>
      <c r="X77" s="28">
        <f t="shared" si="56"/>
        <v>-9.4644001276566954</v>
      </c>
      <c r="Y77" s="28">
        <f t="shared" si="57"/>
        <v>129.52048009099343</v>
      </c>
      <c r="Z77" s="28">
        <f t="shared" si="58"/>
        <v>97.599000623529605</v>
      </c>
      <c r="AA77" s="28">
        <f t="shared" si="59"/>
        <v>1332.2609484970549</v>
      </c>
      <c r="AB77" s="32">
        <f t="shared" si="60"/>
        <v>1429.8599491205846</v>
      </c>
      <c r="AC77" s="22">
        <f>INDEX(Data_Cert!$E$4:$E$195,MATCH($A77,Data_Cert!$A$4:$A$195,0))</f>
        <v>1579.68</v>
      </c>
      <c r="AD77" s="22">
        <f t="shared" si="61"/>
        <v>-149.82005087941548</v>
      </c>
      <c r="AE77" s="23">
        <f t="shared" si="62"/>
        <v>-9.484202552378676E-2</v>
      </c>
      <c r="AF77" s="36">
        <f>Data_Stock!D77</f>
        <v>1448.03</v>
      </c>
    </row>
    <row r="78" spans="1:32" x14ac:dyDescent="0.2">
      <c r="A78" s="35">
        <f>Data_Stock!A78</f>
        <v>46010</v>
      </c>
      <c r="B78" s="36">
        <f>Data_Stock!B78</f>
        <v>1544.07</v>
      </c>
      <c r="C78" s="37">
        <f>Data_Stock!C78</f>
        <v>0.42099999999999999</v>
      </c>
      <c r="D78" s="38">
        <f t="shared" si="42"/>
        <v>1.4958904109589042</v>
      </c>
      <c r="E78" s="28">
        <f>INDEX(Data_Svensson!$B$4:$B$202,MATCH($A78,Data_Svensson!$A$4:$A$202,1))</f>
        <v>1.197112</v>
      </c>
      <c r="F78" s="28">
        <f>INDEX(Data_Svensson!$C$4:$C$202,MATCH($A78,Data_Svensson!$A$4:$A$202,1))</f>
        <v>0.74862499999999998</v>
      </c>
      <c r="G78" s="28">
        <f>INDEX(Data_Svensson!$D$4:$D$202,MATCH($A78,Data_Svensson!$A$4:$A$202,1))</f>
        <v>-0.32062400000000002</v>
      </c>
      <c r="H78" s="28">
        <f>INDEX(Data_Svensson!$E$4:$E$202,MATCH($A78,Data_Svensson!$A$4:$A$202,1))</f>
        <v>7.7265300000000003</v>
      </c>
      <c r="I78" s="28">
        <f>INDEX(Data_Svensson!$F$4:$F$202,MATCH($A78,Data_Svensson!$A$4:$A$202,1))</f>
        <v>2.7068490000000001</v>
      </c>
      <c r="J78" s="28">
        <f>INDEX(Data_Svensson!$G$4:$G$202,MATCH($A78,Data_Svensson!$A$4:$A$202,1))</f>
        <v>15.159072999999999</v>
      </c>
      <c r="K78" s="28">
        <f t="shared" si="43"/>
        <v>0.76826313653994982</v>
      </c>
      <c r="L78" s="28">
        <f t="shared" si="44"/>
        <v>0.19282965615124781</v>
      </c>
      <c r="M78" s="28">
        <f t="shared" si="45"/>
        <v>4.6210904414806575E-2</v>
      </c>
      <c r="N78" s="29">
        <f t="shared" si="46"/>
        <v>2.0674771142065174E-2</v>
      </c>
      <c r="O78" s="29">
        <f t="shared" si="47"/>
        <v>1.4674771142065174E-2</v>
      </c>
      <c r="P78" s="28">
        <f t="shared" si="48"/>
        <v>0.51491078094051124</v>
      </c>
      <c r="Q78" s="28">
        <f t="shared" si="49"/>
        <v>-0.41720442142582603</v>
      </c>
      <c r="R78" s="28">
        <f t="shared" si="50"/>
        <v>-0.20237872551109259</v>
      </c>
      <c r="S78" s="28">
        <f t="shared" si="51"/>
        <v>1.0490167399587933</v>
      </c>
      <c r="T78" s="28">
        <f t="shared" si="52"/>
        <v>-1.7002367524440687</v>
      </c>
      <c r="U78" s="28">
        <f t="shared" si="53"/>
        <v>-0.44884128697418302</v>
      </c>
      <c r="V78" s="28">
        <f t="shared" si="54"/>
        <v>592.45861195342502</v>
      </c>
      <c r="W78" s="28">
        <f t="shared" si="55"/>
        <v>350.12034515447004</v>
      </c>
      <c r="X78" s="28">
        <f t="shared" si="56"/>
        <v>-7.705392175203464</v>
      </c>
      <c r="Y78" s="28">
        <f t="shared" si="57"/>
        <v>129.30002380441255</v>
      </c>
      <c r="Z78" s="28">
        <f t="shared" si="58"/>
        <v>105.33285081933897</v>
      </c>
      <c r="AA78" s="28">
        <f t="shared" si="59"/>
        <v>1346.6337106865453</v>
      </c>
      <c r="AB78" s="32">
        <f t="shared" si="60"/>
        <v>1451.9665615058843</v>
      </c>
      <c r="AC78" s="22">
        <f>INDEX(Data_Cert!$E$4:$E$195,MATCH($A78,Data_Cert!$A$4:$A$195,0))</f>
        <v>1590.22</v>
      </c>
      <c r="AD78" s="22">
        <f t="shared" si="61"/>
        <v>-138.2534384941157</v>
      </c>
      <c r="AE78" s="23">
        <f t="shared" si="62"/>
        <v>-8.6939818700629917E-2</v>
      </c>
      <c r="AF78" s="36">
        <f>Data_Stock!D78</f>
        <v>1460.64</v>
      </c>
    </row>
    <row r="79" spans="1:32" x14ac:dyDescent="0.2">
      <c r="A79" s="35">
        <f>Data_Stock!A79</f>
        <v>46013</v>
      </c>
      <c r="B79" s="36">
        <f>Data_Stock!B79</f>
        <v>1529.71</v>
      </c>
      <c r="C79" s="37">
        <f>Data_Stock!C79</f>
        <v>0.41</v>
      </c>
      <c r="D79" s="38">
        <f t="shared" si="42"/>
        <v>1.4876712328767123</v>
      </c>
      <c r="E79" s="28">
        <f>INDEX(Data_Svensson!$B$4:$B$202,MATCH($A79,Data_Svensson!$A$4:$A$202,1))</f>
        <v>1.167643</v>
      </c>
      <c r="F79" s="28">
        <f>INDEX(Data_Svensson!$C$4:$C$202,MATCH($A79,Data_Svensson!$A$4:$A$202,1))</f>
        <v>0.76713100000000001</v>
      </c>
      <c r="G79" s="28">
        <f>INDEX(Data_Svensson!$D$4:$D$202,MATCH($A79,Data_Svensson!$A$4:$A$202,1))</f>
        <v>0.12016</v>
      </c>
      <c r="H79" s="28">
        <f>INDEX(Data_Svensson!$E$4:$E$202,MATCH($A79,Data_Svensson!$A$4:$A$202,1))</f>
        <v>7.7871189999999997</v>
      </c>
      <c r="I79" s="28">
        <f>INDEX(Data_Svensson!$F$4:$F$202,MATCH($A79,Data_Svensson!$A$4:$A$202,1))</f>
        <v>1.678331</v>
      </c>
      <c r="J79" s="28">
        <f>INDEX(Data_Svensson!$G$4:$G$202,MATCH($A79,Data_Svensson!$A$4:$A$202,1))</f>
        <v>15.072587</v>
      </c>
      <c r="K79" s="28">
        <f t="shared" si="43"/>
        <v>0.66320332419325734</v>
      </c>
      <c r="L79" s="28">
        <f t="shared" si="44"/>
        <v>0.25106621116282241</v>
      </c>
      <c r="M79" s="28">
        <f t="shared" si="45"/>
        <v>4.6220058979393963E-2</v>
      </c>
      <c r="N79" s="29">
        <f t="shared" si="46"/>
        <v>2.0664960446845817E-2</v>
      </c>
      <c r="O79" s="29">
        <f t="shared" si="47"/>
        <v>1.4664960446845817E-2</v>
      </c>
      <c r="P79" s="28">
        <f t="shared" si="48"/>
        <v>0.50007752823594787</v>
      </c>
      <c r="Q79" s="28">
        <f t="shared" si="49"/>
        <v>-0.41276049704434375</v>
      </c>
      <c r="R79" s="28">
        <f t="shared" si="50"/>
        <v>-0.24238961330848224</v>
      </c>
      <c r="S79" s="28">
        <f t="shared" si="51"/>
        <v>1.0461246270004545</v>
      </c>
      <c r="T79" s="28">
        <f t="shared" si="52"/>
        <v>-1.7473083090682489</v>
      </c>
      <c r="U79" s="28">
        <f t="shared" si="53"/>
        <v>-0.45879406875931222</v>
      </c>
      <c r="V79" s="28">
        <f t="shared" si="54"/>
        <v>592.26291868349574</v>
      </c>
      <c r="W79" s="28">
        <f t="shared" si="55"/>
        <v>343.31285276196888</v>
      </c>
      <c r="X79" s="28">
        <f t="shared" si="56"/>
        <v>-6.7002917578487811</v>
      </c>
      <c r="Y79" s="28">
        <f t="shared" si="57"/>
        <v>131.7085119759397</v>
      </c>
      <c r="Z79" s="28">
        <f t="shared" si="58"/>
        <v>110.54126218773837</v>
      </c>
      <c r="AA79" s="28">
        <f t="shared" si="59"/>
        <v>1347.1872474288984</v>
      </c>
      <c r="AB79" s="32">
        <f t="shared" si="60"/>
        <v>1457.7285096166368</v>
      </c>
      <c r="AC79" s="22">
        <f>INDEX(Data_Cert!$E$4:$E$195,MATCH($A79,Data_Cert!$A$4:$A$195,0))</f>
        <v>1581.49</v>
      </c>
      <c r="AD79" s="22">
        <f t="shared" si="61"/>
        <v>-123.76149038336325</v>
      </c>
      <c r="AE79" s="23">
        <f t="shared" si="62"/>
        <v>-7.8256258581061694E-2</v>
      </c>
      <c r="AF79" s="36">
        <f>Data_Stock!D79</f>
        <v>1465.66</v>
      </c>
    </row>
    <row r="80" spans="1:32" x14ac:dyDescent="0.2">
      <c r="A80" s="35">
        <f>Data_Stock!A80</f>
        <v>46014</v>
      </c>
      <c r="B80" s="36">
        <f>Data_Stock!B80</f>
        <v>1525.75</v>
      </c>
      <c r="C80" s="37">
        <f>Data_Stock!C80</f>
        <v>0.39700000000000002</v>
      </c>
      <c r="D80" s="38">
        <f t="shared" si="42"/>
        <v>1.484931506849315</v>
      </c>
      <c r="E80" s="28">
        <f>INDEX(Data_Svensson!$B$4:$B$202,MATCH($A80,Data_Svensson!$A$4:$A$202,1))</f>
        <v>1.1720429999999999</v>
      </c>
      <c r="F80" s="28">
        <f>INDEX(Data_Svensson!$C$4:$C$202,MATCH($A80,Data_Svensson!$A$4:$A$202,1))</f>
        <v>0.77467399999999997</v>
      </c>
      <c r="G80" s="28">
        <f>INDEX(Data_Svensson!$D$4:$D$202,MATCH($A80,Data_Svensson!$A$4:$A$202,1))</f>
        <v>-0.21446999999999999</v>
      </c>
      <c r="H80" s="28">
        <f>INDEX(Data_Svensson!$E$4:$E$202,MATCH($A80,Data_Svensson!$A$4:$A$202,1))</f>
        <v>7.6299469999999996</v>
      </c>
      <c r="I80" s="28">
        <f>INDEX(Data_Svensson!$F$4:$F$202,MATCH($A80,Data_Svensson!$A$4:$A$202,1))</f>
        <v>2.538694</v>
      </c>
      <c r="J80" s="28">
        <f>INDEX(Data_Svensson!$G$4:$G$202,MATCH($A80,Data_Svensson!$A$4:$A$202,1))</f>
        <v>15.097715000000001</v>
      </c>
      <c r="K80" s="28">
        <f t="shared" si="43"/>
        <v>0.75711153189020097</v>
      </c>
      <c r="L80" s="28">
        <f t="shared" si="44"/>
        <v>0.19996079529205613</v>
      </c>
      <c r="M80" s="28">
        <f t="shared" si="45"/>
        <v>4.6068683661077969E-2</v>
      </c>
      <c r="N80" s="29">
        <f t="shared" si="46"/>
        <v>2.0671736417830128E-2</v>
      </c>
      <c r="O80" s="29">
        <f t="shared" si="47"/>
        <v>1.4671736417830128E-2</v>
      </c>
      <c r="P80" s="28">
        <f t="shared" si="48"/>
        <v>0.48377532994460737</v>
      </c>
      <c r="Q80" s="28">
        <f t="shared" si="49"/>
        <v>-0.40691054179754887</v>
      </c>
      <c r="R80" s="28">
        <f t="shared" si="50"/>
        <v>-0.27255478185306459</v>
      </c>
      <c r="S80" s="28">
        <f t="shared" si="51"/>
        <v>1.0593796441216801</v>
      </c>
      <c r="T80" s="28">
        <f t="shared" si="52"/>
        <v>-1.8174699734393065</v>
      </c>
      <c r="U80" s="28">
        <f t="shared" si="53"/>
        <v>-0.48553554746456173</v>
      </c>
      <c r="V80" s="28">
        <f t="shared" si="54"/>
        <v>585.15220189795241</v>
      </c>
      <c r="W80" s="28">
        <f t="shared" si="55"/>
        <v>328.968301092297</v>
      </c>
      <c r="X80" s="28">
        <f t="shared" si="56"/>
        <v>-5.4608827143852849</v>
      </c>
      <c r="Y80" s="28">
        <f t="shared" si="57"/>
        <v>132.44152934479132</v>
      </c>
      <c r="Z80" s="28">
        <f t="shared" si="58"/>
        <v>118.2814887464788</v>
      </c>
      <c r="AA80" s="28">
        <f t="shared" si="59"/>
        <v>1354.3882564046921</v>
      </c>
      <c r="AB80" s="32">
        <f t="shared" si="60"/>
        <v>1472.6697451511709</v>
      </c>
      <c r="AC80" s="22">
        <f>INDEX(Data_Cert!$E$4:$E$195,MATCH($A80,Data_Cert!$A$4:$A$195,0))</f>
        <v>1580.77</v>
      </c>
      <c r="AD80" s="22">
        <f t="shared" si="61"/>
        <v>-108.10025484882908</v>
      </c>
      <c r="AE80" s="23">
        <f t="shared" si="62"/>
        <v>-6.8384556164925378E-2</v>
      </c>
      <c r="AF80" s="36">
        <f>Data_Stock!D80</f>
        <v>1474.08</v>
      </c>
    </row>
    <row r="81" spans="1:32" x14ac:dyDescent="0.2">
      <c r="A81" s="35">
        <f>Data_Stock!A81</f>
        <v>46020</v>
      </c>
      <c r="B81" s="36">
        <f>Data_Stock!B81</f>
        <v>1510.9</v>
      </c>
      <c r="C81" s="37">
        <f>Data_Stock!C81</f>
        <v>0.38700000000000001</v>
      </c>
      <c r="D81" s="38">
        <f t="shared" si="42"/>
        <v>1.4684931506849315</v>
      </c>
      <c r="E81" s="28">
        <f>INDEX(Data_Svensson!$B$4:$B$202,MATCH($A81,Data_Svensson!$A$4:$A$202,1))</f>
        <v>1.159508</v>
      </c>
      <c r="F81" s="28">
        <f>INDEX(Data_Svensson!$C$4:$C$202,MATCH($A81,Data_Svensson!$A$4:$A$202,1))</f>
        <v>0.80461700000000003</v>
      </c>
      <c r="G81" s="28">
        <f>INDEX(Data_Svensson!$D$4:$D$202,MATCH($A81,Data_Svensson!$A$4:$A$202,1))</f>
        <v>0.35584700000000002</v>
      </c>
      <c r="H81" s="28">
        <f>INDEX(Data_Svensson!$E$4:$E$202,MATCH($A81,Data_Svensson!$A$4:$A$202,1))</f>
        <v>7.6140319999999999</v>
      </c>
      <c r="I81" s="28">
        <f>INDEX(Data_Svensson!$F$4:$F$202,MATCH($A81,Data_Svensson!$A$4:$A$202,1))</f>
        <v>1.0631299999999999</v>
      </c>
      <c r="J81" s="28">
        <f>INDEX(Data_Svensson!$G$4:$G$202,MATCH($A81,Data_Svensson!$A$4:$A$202,1))</f>
        <v>15.132234</v>
      </c>
      <c r="K81" s="28">
        <f t="shared" si="43"/>
        <v>0.54206223265533782</v>
      </c>
      <c r="L81" s="28">
        <f t="shared" si="44"/>
        <v>0.29080855333046257</v>
      </c>
      <c r="M81" s="28">
        <f t="shared" si="45"/>
        <v>4.5494180979484433E-2</v>
      </c>
      <c r="N81" s="29">
        <f t="shared" si="46"/>
        <v>2.0455379885210109E-2</v>
      </c>
      <c r="O81" s="29">
        <f t="shared" si="47"/>
        <v>1.4455379885210109E-2</v>
      </c>
      <c r="P81" s="28">
        <f t="shared" si="48"/>
        <v>0.46897201482064099</v>
      </c>
      <c r="Q81" s="28">
        <f t="shared" si="49"/>
        <v>-0.40348216329674291</v>
      </c>
      <c r="R81" s="28">
        <f t="shared" si="50"/>
        <v>-0.31824218585606023</v>
      </c>
      <c r="S81" s="28">
        <f t="shared" si="51"/>
        <v>1.0557353565713883</v>
      </c>
      <c r="T81" s="28">
        <f t="shared" si="52"/>
        <v>-1.8702125554884832</v>
      </c>
      <c r="U81" s="28">
        <f t="shared" si="53"/>
        <v>-0.49623501306103501</v>
      </c>
      <c r="V81" s="28">
        <f t="shared" si="54"/>
        <v>586.61526024951172</v>
      </c>
      <c r="W81" s="28">
        <f t="shared" si="55"/>
        <v>322.89499194009477</v>
      </c>
      <c r="X81" s="28">
        <f t="shared" si="56"/>
        <v>-4.6555748344068846</v>
      </c>
      <c r="Y81" s="28">
        <f t="shared" si="57"/>
        <v>134.69787832484883</v>
      </c>
      <c r="Z81" s="28">
        <f t="shared" si="58"/>
        <v>124.36681515016124</v>
      </c>
      <c r="AA81" s="28">
        <f t="shared" si="59"/>
        <v>1354.2009185134414</v>
      </c>
      <c r="AB81" s="32">
        <f t="shared" si="60"/>
        <v>1478.5677336636027</v>
      </c>
      <c r="AC81" s="22">
        <f>INDEX(Data_Cert!$E$4:$E$195,MATCH($A81,Data_Cert!$A$4:$A$195,0))</f>
        <v>1566.67</v>
      </c>
      <c r="AD81" s="22">
        <f t="shared" si="61"/>
        <v>-88.102266336397406</v>
      </c>
      <c r="AE81" s="23">
        <f t="shared" si="62"/>
        <v>-5.6235369501169613E-2</v>
      </c>
      <c r="AF81" s="36">
        <f>Data_Stock!D81</f>
        <v>1479.03</v>
      </c>
    </row>
    <row r="82" spans="1:32" x14ac:dyDescent="0.2">
      <c r="A82" s="35">
        <f>Data_Stock!A82</f>
        <v>46021</v>
      </c>
      <c r="B82" s="36">
        <f>Data_Stock!B82</f>
        <v>1545.55</v>
      </c>
      <c r="C82" s="37">
        <f>Data_Stock!C82</f>
        <v>0.38600000000000001</v>
      </c>
      <c r="D82" s="38">
        <f t="shared" si="42"/>
        <v>1.4657534246575343</v>
      </c>
      <c r="E82" s="28">
        <f>INDEX(Data_Svensson!$B$4:$B$202,MATCH($A82,Data_Svensson!$A$4:$A$202,1))</f>
        <v>1.1582749999999999</v>
      </c>
      <c r="F82" s="28">
        <f>INDEX(Data_Svensson!$C$4:$C$202,MATCH($A82,Data_Svensson!$A$4:$A$202,1))</f>
        <v>0.78171999999999997</v>
      </c>
      <c r="G82" s="28">
        <f>INDEX(Data_Svensson!$D$4:$D$202,MATCH($A82,Data_Svensson!$A$4:$A$202,1))</f>
        <v>-0.32794299999999998</v>
      </c>
      <c r="H82" s="28">
        <f>INDEX(Data_Svensson!$E$4:$E$202,MATCH($A82,Data_Svensson!$A$4:$A$202,1))</f>
        <v>7.6669530000000004</v>
      </c>
      <c r="I82" s="28">
        <f>INDEX(Data_Svensson!$F$4:$F$202,MATCH($A82,Data_Svensson!$A$4:$A$202,1))</f>
        <v>2.6278830000000002</v>
      </c>
      <c r="J82" s="28">
        <f>INDEX(Data_Svensson!$G$4:$G$202,MATCH($A82,Data_Svensson!$A$4:$A$202,1))</f>
        <v>14.882122000000001</v>
      </c>
      <c r="K82" s="28">
        <f t="shared" si="43"/>
        <v>0.76647324754677715</v>
      </c>
      <c r="L82" s="28">
        <f t="shared" si="44"/>
        <v>0.19398877525484881</v>
      </c>
      <c r="M82" s="28">
        <f t="shared" si="45"/>
        <v>4.6128311857433379E-2</v>
      </c>
      <c r="N82" s="29">
        <f t="shared" si="46"/>
        <v>2.0474888051291499E-2</v>
      </c>
      <c r="O82" s="29">
        <f t="shared" si="47"/>
        <v>1.4474888051291499E-2</v>
      </c>
      <c r="P82" s="28">
        <f t="shared" si="48"/>
        <v>0.46732365364945311</v>
      </c>
      <c r="Q82" s="28">
        <f t="shared" si="49"/>
        <v>-0.40285049228642716</v>
      </c>
      <c r="R82" s="28">
        <f t="shared" si="50"/>
        <v>-0.27251997656480154</v>
      </c>
      <c r="S82" s="28">
        <f t="shared" si="51"/>
        <v>1.1063039099612926</v>
      </c>
      <c r="T82" s="28">
        <f t="shared" si="52"/>
        <v>-1.9270036170480289</v>
      </c>
      <c r="U82" s="28">
        <f t="shared" si="53"/>
        <v>-0.54817973052193436</v>
      </c>
      <c r="V82" s="28">
        <f t="shared" si="54"/>
        <v>564.52647463682933</v>
      </c>
      <c r="W82" s="28">
        <f t="shared" si="55"/>
        <v>301.63190975680743</v>
      </c>
      <c r="X82" s="28">
        <f t="shared" si="56"/>
        <v>-3.994639213076919</v>
      </c>
      <c r="Y82" s="28">
        <f t="shared" si="57"/>
        <v>128.87863745399864</v>
      </c>
      <c r="Z82" s="28">
        <f t="shared" si="58"/>
        <v>130.02128821294633</v>
      </c>
      <c r="AA82" s="28">
        <f t="shared" si="59"/>
        <v>1376.3429763320146</v>
      </c>
      <c r="AB82" s="32">
        <f t="shared" si="60"/>
        <v>1506.3642645449609</v>
      </c>
      <c r="AC82" s="22">
        <f>INDEX(Data_Cert!$E$4:$E$195,MATCH($A82,Data_Cert!$A$4:$A$195,0))</f>
        <v>1592.96</v>
      </c>
      <c r="AD82" s="22">
        <f t="shared" si="61"/>
        <v>-86.595735455039176</v>
      </c>
      <c r="AE82" s="23">
        <f t="shared" si="62"/>
        <v>-5.4361525371032025E-2</v>
      </c>
      <c r="AF82" s="36">
        <f>Data_Stock!D82</f>
        <v>1512.12</v>
      </c>
    </row>
    <row r="83" spans="1:32" x14ac:dyDescent="0.2">
      <c r="A83" s="35">
        <f>Data_Stock!A83</f>
        <v>46024</v>
      </c>
      <c r="B83" s="36">
        <f>Data_Stock!B83</f>
        <v>1586.15</v>
      </c>
      <c r="C83" s="37">
        <f>Data_Stock!C83</f>
        <v>0.38700000000000001</v>
      </c>
      <c r="D83" s="38">
        <f t="shared" si="42"/>
        <v>1.4575342465753425</v>
      </c>
      <c r="E83" s="28">
        <f>INDEX(Data_Svensson!$B$4:$B$202,MATCH($A83,Data_Svensson!$A$4:$A$202,1))</f>
        <v>1.1626320000000001</v>
      </c>
      <c r="F83" s="28">
        <f>INDEX(Data_Svensson!$C$4:$C$202,MATCH($A83,Data_Svensson!$A$4:$A$202,1))</f>
        <v>0.78678000000000003</v>
      </c>
      <c r="G83" s="28">
        <f>INDEX(Data_Svensson!$D$4:$D$202,MATCH($A83,Data_Svensson!$A$4:$A$202,1))</f>
        <v>-0.28679500000000002</v>
      </c>
      <c r="H83" s="28">
        <f>INDEX(Data_Svensson!$E$4:$E$202,MATCH($A83,Data_Svensson!$A$4:$A$202,1))</f>
        <v>7.7550829999999999</v>
      </c>
      <c r="I83" s="28">
        <f>INDEX(Data_Svensson!$F$4:$F$202,MATCH($A83,Data_Svensson!$A$4:$A$202,1))</f>
        <v>2.4728029999999999</v>
      </c>
      <c r="J83" s="28">
        <f>INDEX(Data_Svensson!$G$4:$G$202,MATCH($A83,Data_Svensson!$A$4:$A$202,1))</f>
        <v>14.888612</v>
      </c>
      <c r="K83" s="28">
        <f t="shared" si="43"/>
        <v>0.75557313555361161</v>
      </c>
      <c r="L83" s="28">
        <f t="shared" si="44"/>
        <v>0.20092754545270286</v>
      </c>
      <c r="M83" s="28">
        <f t="shared" si="45"/>
        <v>4.5867693778424701E-2</v>
      </c>
      <c r="N83" s="29">
        <f t="shared" si="46"/>
        <v>2.0551845884630299E-2</v>
      </c>
      <c r="O83" s="29">
        <f t="shared" si="47"/>
        <v>1.4551845884630299E-2</v>
      </c>
      <c r="P83" s="28">
        <f t="shared" si="48"/>
        <v>0.46721884227344951</v>
      </c>
      <c r="Q83" s="28">
        <f t="shared" si="49"/>
        <v>-0.40283806472213679</v>
      </c>
      <c r="R83" s="28">
        <f t="shared" si="50"/>
        <v>-0.21720217180596857</v>
      </c>
      <c r="S83" s="28">
        <f t="shared" si="51"/>
        <v>1.1619310267934793</v>
      </c>
      <c r="T83" s="28">
        <f t="shared" si="52"/>
        <v>-1.983053609292335</v>
      </c>
      <c r="U83" s="28">
        <f t="shared" si="53"/>
        <v>-0.60392041069288727</v>
      </c>
      <c r="V83" s="28">
        <f t="shared" si="54"/>
        <v>540.48790610199535</v>
      </c>
      <c r="W83" s="28">
        <f t="shared" si="55"/>
        <v>280.03826600466948</v>
      </c>
      <c r="X83" s="28">
        <f t="shared" si="56"/>
        <v>-3.4341870975579525</v>
      </c>
      <c r="Y83" s="28">
        <f t="shared" si="57"/>
        <v>122.21139557534468</v>
      </c>
      <c r="Z83" s="28">
        <f t="shared" si="58"/>
        <v>134.80405742442326</v>
      </c>
      <c r="AA83" s="28">
        <f t="shared" si="59"/>
        <v>1400.4904657774869</v>
      </c>
      <c r="AB83" s="32">
        <f t="shared" si="60"/>
        <v>1535.2945232019101</v>
      </c>
      <c r="AC83" s="22">
        <f>INDEX(Data_Cert!$E$4:$E$195,MATCH($A83,Data_Cert!$A$4:$A$195,0))</f>
        <v>1627.15</v>
      </c>
      <c r="AD83" s="22">
        <f t="shared" si="61"/>
        <v>-91.855476798089967</v>
      </c>
      <c r="AE83" s="23">
        <f t="shared" si="62"/>
        <v>-5.6451757243087583E-2</v>
      </c>
      <c r="AF83" s="36">
        <f>Data_Stock!D83</f>
        <v>1546.46</v>
      </c>
    </row>
    <row r="84" spans="1:32" x14ac:dyDescent="0.2">
      <c r="A84" s="35">
        <f>Data_Stock!A84</f>
        <v>46027</v>
      </c>
      <c r="B84" s="36">
        <f>Data_Stock!B84</f>
        <v>1734.66</v>
      </c>
      <c r="C84" s="37">
        <f>Data_Stock!C84</f>
        <v>0.51200000000000001</v>
      </c>
      <c r="D84" s="38">
        <f t="shared" si="42"/>
        <v>1.4493150684931506</v>
      </c>
      <c r="E84" s="28">
        <f>INDEX(Data_Svensson!$B$4:$B$202,MATCH($A84,Data_Svensson!$A$4:$A$202,1))</f>
        <v>1.1576390000000001</v>
      </c>
      <c r="F84" s="28">
        <f>INDEX(Data_Svensson!$C$4:$C$202,MATCH($A84,Data_Svensson!$A$4:$A$202,1))</f>
        <v>0.78691199999999994</v>
      </c>
      <c r="G84" s="28">
        <f>INDEX(Data_Svensson!$D$4:$D$202,MATCH($A84,Data_Svensson!$A$4:$A$202,1))</f>
        <v>-1.0820190000000001</v>
      </c>
      <c r="H84" s="28">
        <f>INDEX(Data_Svensson!$E$4:$E$202,MATCH($A84,Data_Svensson!$A$4:$A$202,1))</f>
        <v>8.0634239999999995</v>
      </c>
      <c r="I84" s="28">
        <f>INDEX(Data_Svensson!$F$4:$F$202,MATCH($A84,Data_Svensson!$A$4:$A$202,1))</f>
        <v>4.1301560000000004</v>
      </c>
      <c r="J84" s="28">
        <f>INDEX(Data_Svensson!$G$4:$G$202,MATCH($A84,Data_Svensson!$A$4:$A$202,1))</f>
        <v>13.931538</v>
      </c>
      <c r="K84" s="28">
        <f t="shared" si="43"/>
        <v>0.8433866700460011</v>
      </c>
      <c r="L84" s="28">
        <f t="shared" si="44"/>
        <v>0.13933990025423781</v>
      </c>
      <c r="M84" s="28">
        <f t="shared" si="45"/>
        <v>4.8545030762224162E-2</v>
      </c>
      <c r="N84" s="29">
        <f t="shared" si="46"/>
        <v>2.0619808378949053E-2</v>
      </c>
      <c r="O84" s="29">
        <f t="shared" si="47"/>
        <v>1.4619808378949052E-2</v>
      </c>
      <c r="P84" s="28">
        <f t="shared" si="48"/>
        <v>0.61638401124223563</v>
      </c>
      <c r="Q84" s="28">
        <f t="shared" si="49"/>
        <v>-0.4442298569528616</v>
      </c>
      <c r="R84" s="28">
        <f t="shared" si="50"/>
        <v>0.11164725268946185</v>
      </c>
      <c r="S84" s="28">
        <f t="shared" si="51"/>
        <v>1.1570296841576337</v>
      </c>
      <c r="T84" s="28">
        <f t="shared" si="52"/>
        <v>-1.5172764554256732</v>
      </c>
      <c r="U84" s="28">
        <f t="shared" si="53"/>
        <v>-0.47189402395750113</v>
      </c>
      <c r="V84" s="28">
        <f t="shared" si="54"/>
        <v>562.0563338961872</v>
      </c>
      <c r="W84" s="28">
        <f t="shared" si="55"/>
        <v>358.81810799695847</v>
      </c>
      <c r="X84" s="28">
        <f t="shared" si="56"/>
        <v>-13.744288963451901</v>
      </c>
      <c r="Y84" s="28">
        <f t="shared" si="57"/>
        <v>105.68302611803233</v>
      </c>
      <c r="Z84" s="28">
        <f t="shared" si="58"/>
        <v>83.810910817744485</v>
      </c>
      <c r="AA84" s="28">
        <f t="shared" si="59"/>
        <v>1379.0587269086493</v>
      </c>
      <c r="AB84" s="32">
        <f t="shared" si="60"/>
        <v>1462.8696377263939</v>
      </c>
      <c r="AC84" s="22">
        <f>INDEX(Data_Cert!$E$4:$E$195,MATCH($A84,Data_Cert!$A$4:$A$195,0))</f>
        <v>1682.59</v>
      </c>
      <c r="AD84" s="22">
        <f t="shared" si="61"/>
        <v>-219.72036227360604</v>
      </c>
      <c r="AE84" s="23">
        <f t="shared" si="62"/>
        <v>-0.13058461198129434</v>
      </c>
      <c r="AF84" s="36">
        <f>Data_Stock!D84</f>
        <v>1470.75</v>
      </c>
    </row>
    <row r="85" spans="1:32" x14ac:dyDescent="0.2">
      <c r="A85" s="35">
        <f>Data_Stock!A85</f>
        <v>46028</v>
      </c>
      <c r="B85" s="36">
        <f>Data_Stock!B85</f>
        <v>1723.27</v>
      </c>
      <c r="C85" s="37">
        <f>Data_Stock!C85</f>
        <v>0.497</v>
      </c>
      <c r="D85" s="38">
        <f t="shared" si="42"/>
        <v>1.4465753424657535</v>
      </c>
      <c r="E85" s="28">
        <f>INDEX(Data_Svensson!$B$4:$B$202,MATCH($A85,Data_Svensson!$A$4:$A$202,1))</f>
        <v>1.1705300000000001</v>
      </c>
      <c r="F85" s="28">
        <f>INDEX(Data_Svensson!$C$4:$C$202,MATCH($A85,Data_Svensson!$A$4:$A$202,1))</f>
        <v>0.79178999999999999</v>
      </c>
      <c r="G85" s="28">
        <f>INDEX(Data_Svensson!$D$4:$D$202,MATCH($A85,Data_Svensson!$A$4:$A$202,1))</f>
        <v>-0.46165699999999998</v>
      </c>
      <c r="H85" s="28">
        <f>INDEX(Data_Svensson!$E$4:$E$202,MATCH($A85,Data_Svensson!$A$4:$A$202,1))</f>
        <v>7.6394529999999996</v>
      </c>
      <c r="I85" s="28">
        <f>INDEX(Data_Svensson!$F$4:$F$202,MATCH($A85,Data_Svensson!$A$4:$A$202,1))</f>
        <v>2.567571</v>
      </c>
      <c r="J85" s="28">
        <f>INDEX(Data_Svensson!$G$4:$G$202,MATCH($A85,Data_Svensson!$A$4:$A$202,1))</f>
        <v>14.885918999999999</v>
      </c>
      <c r="K85" s="28">
        <f t="shared" si="43"/>
        <v>0.76451775814871714</v>
      </c>
      <c r="L85" s="28">
        <f t="shared" si="44"/>
        <v>0.19524880232047737</v>
      </c>
      <c r="M85" s="28">
        <f t="shared" si="45"/>
        <v>4.5552694973639007E-2</v>
      </c>
      <c r="N85" s="29">
        <f t="shared" si="46"/>
        <v>2.0337272116661597E-2</v>
      </c>
      <c r="O85" s="29">
        <f t="shared" si="47"/>
        <v>1.4337272116661597E-2</v>
      </c>
      <c r="P85" s="28">
        <f t="shared" si="48"/>
        <v>0.59776009298641142</v>
      </c>
      <c r="Q85" s="28">
        <f t="shared" si="49"/>
        <v>-0.44195647884627037</v>
      </c>
      <c r="R85" s="28">
        <f t="shared" si="50"/>
        <v>8.4440191694599681E-2</v>
      </c>
      <c r="S85" s="28">
        <f t="shared" si="51"/>
        <v>1.1623927414730626</v>
      </c>
      <c r="T85" s="28">
        <f t="shared" si="52"/>
        <v>-1.5731929970608896</v>
      </c>
      <c r="U85" s="28">
        <f t="shared" si="53"/>
        <v>-0.49524044728242672</v>
      </c>
      <c r="V85" s="28">
        <f t="shared" si="54"/>
        <v>555.20181713280613</v>
      </c>
      <c r="W85" s="28">
        <f t="shared" si="55"/>
        <v>346.3903404448115</v>
      </c>
      <c r="X85" s="28">
        <f t="shared" si="56"/>
        <v>-11.800666373368699</v>
      </c>
      <c r="Y85" s="28">
        <f t="shared" si="57"/>
        <v>107.97833009371533</v>
      </c>
      <c r="Z85" s="28">
        <f t="shared" si="58"/>
        <v>89.0324802209106</v>
      </c>
      <c r="AA85" s="28">
        <f t="shared" si="59"/>
        <v>1386.8164655507171</v>
      </c>
      <c r="AB85" s="32">
        <f t="shared" si="60"/>
        <v>1475.8489457716278</v>
      </c>
      <c r="AC85" s="22">
        <f>INDEX(Data_Cert!$E$4:$E$195,MATCH($A85,Data_Cert!$A$4:$A$195,0))</f>
        <v>1678.95</v>
      </c>
      <c r="AD85" s="22">
        <f t="shared" si="61"/>
        <v>-203.10105422837228</v>
      </c>
      <c r="AE85" s="23">
        <f t="shared" si="62"/>
        <v>-0.12096909034120866</v>
      </c>
      <c r="AF85" s="36">
        <f>Data_Stock!D85</f>
        <v>1479.92</v>
      </c>
    </row>
    <row r="86" spans="1:32" x14ac:dyDescent="0.2">
      <c r="A86" s="35">
        <f>Data_Stock!A86</f>
        <v>46029</v>
      </c>
      <c r="B86" s="36">
        <f>Data_Stock!B86</f>
        <v>1806.94</v>
      </c>
      <c r="C86" s="37">
        <f>Data_Stock!C86</f>
        <v>0.51600000000000001</v>
      </c>
      <c r="D86" s="38">
        <f t="shared" si="42"/>
        <v>1.4438356164383561</v>
      </c>
      <c r="E86" s="28">
        <f>INDEX(Data_Svensson!$B$4:$B$202,MATCH($A86,Data_Svensson!$A$4:$A$202,1))</f>
        <v>1.171897</v>
      </c>
      <c r="F86" s="28">
        <f>INDEX(Data_Svensson!$C$4:$C$202,MATCH($A86,Data_Svensson!$A$4:$A$202,1))</f>
        <v>0.79671700000000001</v>
      </c>
      <c r="G86" s="28">
        <f>INDEX(Data_Svensson!$D$4:$D$202,MATCH($A86,Data_Svensson!$A$4:$A$202,1))</f>
        <v>-0.52054299999999998</v>
      </c>
      <c r="H86" s="28">
        <f>INDEX(Data_Svensson!$E$4:$E$202,MATCH($A86,Data_Svensson!$A$4:$A$202,1))</f>
        <v>7.5962569999999996</v>
      </c>
      <c r="I86" s="28">
        <f>INDEX(Data_Svensson!$F$4:$F$202,MATCH($A86,Data_Svensson!$A$4:$A$202,1))</f>
        <v>2.551266</v>
      </c>
      <c r="J86" s="28">
        <f>INDEX(Data_Svensson!$G$4:$G$202,MATCH($A86,Data_Svensson!$A$4:$A$202,1))</f>
        <v>14.892976000000001</v>
      </c>
      <c r="K86" s="28">
        <f t="shared" si="43"/>
        <v>0.76364278780680883</v>
      </c>
      <c r="L86" s="28">
        <f t="shared" si="44"/>
        <v>0.19581044702844574</v>
      </c>
      <c r="M86" s="28">
        <f t="shared" si="45"/>
        <v>4.5451789041776935E-2</v>
      </c>
      <c r="N86" s="29">
        <f t="shared" si="46"/>
        <v>2.0236399041166708E-2</v>
      </c>
      <c r="O86" s="29">
        <f t="shared" si="47"/>
        <v>1.4236399041166707E-2</v>
      </c>
      <c r="P86" s="28">
        <f t="shared" si="48"/>
        <v>0.62002410912029138</v>
      </c>
      <c r="Q86" s="28">
        <f t="shared" si="49"/>
        <v>-0.44653116158446493</v>
      </c>
      <c r="R86" s="28">
        <f t="shared" si="50"/>
        <v>0.17944075494344025</v>
      </c>
      <c r="S86" s="28">
        <f t="shared" si="51"/>
        <v>1.2186858535005693</v>
      </c>
      <c r="T86" s="28">
        <f t="shared" si="52"/>
        <v>-1.5716029051288289</v>
      </c>
      <c r="U86" s="28">
        <f t="shared" si="53"/>
        <v>-0.53235780657169995</v>
      </c>
      <c r="V86" s="28">
        <f t="shared" si="54"/>
        <v>533.7605203185459</v>
      </c>
      <c r="W86" s="28">
        <f t="shared" si="55"/>
        <v>333.8751310054289</v>
      </c>
      <c r="X86" s="28">
        <f t="shared" si="56"/>
        <v>-12.191371313110345</v>
      </c>
      <c r="Y86" s="28">
        <f t="shared" si="57"/>
        <v>100.99320425055981</v>
      </c>
      <c r="Z86" s="28">
        <f t="shared" si="58"/>
        <v>86.700813749446837</v>
      </c>
      <c r="AA86" s="28">
        <f t="shared" si="59"/>
        <v>1408.6488517700941</v>
      </c>
      <c r="AB86" s="32">
        <f t="shared" si="60"/>
        <v>1495.3496655195408</v>
      </c>
      <c r="AC86" s="22">
        <f>INDEX(Data_Cert!$E$4:$E$195,MATCH($A86,Data_Cert!$A$4:$A$195,0))</f>
        <v>1703.56</v>
      </c>
      <c r="AD86" s="22">
        <f t="shared" si="61"/>
        <v>-208.2103344804591</v>
      </c>
      <c r="AE86" s="23">
        <f t="shared" si="62"/>
        <v>-0.12222072276905956</v>
      </c>
      <c r="AF86" s="36">
        <f>Data_Stock!D86</f>
        <v>1507.29</v>
      </c>
    </row>
    <row r="87" spans="1:32" x14ac:dyDescent="0.2">
      <c r="A87" s="35">
        <f>Data_Stock!A87</f>
        <v>46030</v>
      </c>
      <c r="B87" s="36">
        <f>Data_Stock!B87</f>
        <v>1832.68</v>
      </c>
      <c r="C87" s="37">
        <f>Data_Stock!C87</f>
        <v>0.503</v>
      </c>
      <c r="D87" s="38">
        <f t="shared" si="42"/>
        <v>1.441095890410959</v>
      </c>
      <c r="E87" s="28">
        <f>INDEX(Data_Svensson!$B$4:$B$202,MATCH($A87,Data_Svensson!$A$4:$A$202,1))</f>
        <v>1.164059</v>
      </c>
      <c r="F87" s="28">
        <f>INDEX(Data_Svensson!$C$4:$C$202,MATCH($A87,Data_Svensson!$A$4:$A$202,1))</f>
        <v>0.78934199999999999</v>
      </c>
      <c r="G87" s="28">
        <f>INDEX(Data_Svensson!$D$4:$D$202,MATCH($A87,Data_Svensson!$A$4:$A$202,1))</f>
        <v>-0.43919599999999998</v>
      </c>
      <c r="H87" s="28">
        <f>INDEX(Data_Svensson!$E$4:$E$202,MATCH($A87,Data_Svensson!$A$4:$A$202,1))</f>
        <v>7.6342730000000003</v>
      </c>
      <c r="I87" s="28">
        <f>INDEX(Data_Svensson!$F$4:$F$202,MATCH($A87,Data_Svensson!$A$4:$A$202,1))</f>
        <v>2.575539</v>
      </c>
      <c r="J87" s="28">
        <f>INDEX(Data_Svensson!$G$4:$G$202,MATCH($A87,Data_Svensson!$A$4:$A$202,1))</f>
        <v>14.879826</v>
      </c>
      <c r="K87" s="28">
        <f t="shared" si="43"/>
        <v>0.76586074224217338</v>
      </c>
      <c r="L87" s="28">
        <f t="shared" si="44"/>
        <v>0.19438415744663451</v>
      </c>
      <c r="M87" s="28">
        <f t="shared" si="45"/>
        <v>4.5408590317598918E-2</v>
      </c>
      <c r="N87" s="29">
        <f t="shared" si="46"/>
        <v>2.0298738806186965E-2</v>
      </c>
      <c r="O87" s="29">
        <f t="shared" si="47"/>
        <v>1.4298738806186964E-2</v>
      </c>
      <c r="P87" s="28">
        <f t="shared" si="48"/>
        <v>0.60382963668321732</v>
      </c>
      <c r="Q87" s="28">
        <f t="shared" si="49"/>
        <v>-0.44348525623125273</v>
      </c>
      <c r="R87" s="28">
        <f t="shared" si="50"/>
        <v>0.19135060229274881</v>
      </c>
      <c r="S87" s="28">
        <f t="shared" si="51"/>
        <v>1.2584678440530395</v>
      </c>
      <c r="T87" s="28">
        <f t="shared" si="52"/>
        <v>-1.6535048947358573</v>
      </c>
      <c r="U87" s="28">
        <f t="shared" si="53"/>
        <v>-0.58638765297556672</v>
      </c>
      <c r="V87" s="28">
        <f t="shared" si="54"/>
        <v>511.36305593848067</v>
      </c>
      <c r="W87" s="28">
        <f t="shared" si="55"/>
        <v>308.76018597637278</v>
      </c>
      <c r="X87" s="28">
        <f t="shared" si="56"/>
        <v>-9.8267867815175549</v>
      </c>
      <c r="Y87" s="28">
        <f t="shared" si="57"/>
        <v>99.868321438528426</v>
      </c>
      <c r="Z87" s="28">
        <f t="shared" si="58"/>
        <v>92.907761742061894</v>
      </c>
      <c r="AA87" s="28">
        <f t="shared" si="59"/>
        <v>1430.9795073711798</v>
      </c>
      <c r="AB87" s="32">
        <f t="shared" si="60"/>
        <v>1523.8872691132417</v>
      </c>
      <c r="AC87" s="22">
        <f>INDEX(Data_Cert!$E$4:$E$195,MATCH($A87,Data_Cert!$A$4:$A$195,0))</f>
        <v>1723.27</v>
      </c>
      <c r="AD87" s="22">
        <f t="shared" si="61"/>
        <v>-199.38273088675828</v>
      </c>
      <c r="AE87" s="23">
        <f t="shared" si="62"/>
        <v>-0.11570022740879739</v>
      </c>
      <c r="AF87" s="36">
        <f>Data_Stock!D87</f>
        <v>1541</v>
      </c>
    </row>
    <row r="88" spans="1:32" x14ac:dyDescent="0.2">
      <c r="A88" s="35">
        <f>Data_Stock!A88</f>
        <v>46031</v>
      </c>
      <c r="B88" s="36">
        <f>Data_Stock!B88</f>
        <v>1881.2</v>
      </c>
      <c r="C88" s="37">
        <f>Data_Stock!C88</f>
        <v>0.498</v>
      </c>
      <c r="D88" s="38">
        <f t="shared" si="42"/>
        <v>1.4383561643835616</v>
      </c>
      <c r="E88" s="28">
        <f>INDEX(Data_Svensson!$B$4:$B$202,MATCH($A88,Data_Svensson!$A$4:$A$202,1))</f>
        <v>1.178814</v>
      </c>
      <c r="F88" s="28">
        <f>INDEX(Data_Svensson!$C$4:$C$202,MATCH($A88,Data_Svensson!$A$4:$A$202,1))</f>
        <v>0.79041300000000003</v>
      </c>
      <c r="G88" s="28">
        <f>INDEX(Data_Svensson!$D$4:$D$202,MATCH($A88,Data_Svensson!$A$4:$A$202,1))</f>
        <v>-1.3222480000000001</v>
      </c>
      <c r="H88" s="28">
        <f>INDEX(Data_Svensson!$E$4:$E$202,MATCH($A88,Data_Svensson!$A$4:$A$202,1))</f>
        <v>8.0352630000000005</v>
      </c>
      <c r="I88" s="28">
        <f>INDEX(Data_Svensson!$F$4:$F$202,MATCH($A88,Data_Svensson!$A$4:$A$202,1))</f>
        <v>3.8941530000000002</v>
      </c>
      <c r="J88" s="28">
        <f>INDEX(Data_Svensson!$G$4:$G$202,MATCH($A88,Data_Svensson!$A$4:$A$202,1))</f>
        <v>13.610309000000001</v>
      </c>
      <c r="K88" s="28">
        <f t="shared" si="43"/>
        <v>0.83610303845419742</v>
      </c>
      <c r="L88" s="28">
        <f t="shared" si="44"/>
        <v>0.14492859292532911</v>
      </c>
      <c r="M88" s="28">
        <f t="shared" si="45"/>
        <v>4.9261306866087762E-2</v>
      </c>
      <c r="N88" s="29">
        <f t="shared" si="46"/>
        <v>2.0438767251880884E-2</v>
      </c>
      <c r="O88" s="29">
        <f t="shared" si="47"/>
        <v>1.4438767251880884E-2</v>
      </c>
      <c r="P88" s="28">
        <f t="shared" si="48"/>
        <v>0.59725880670926967</v>
      </c>
      <c r="Q88" s="28">
        <f t="shared" si="49"/>
        <v>-0.44178010333752327</v>
      </c>
      <c r="R88" s="28">
        <f t="shared" si="50"/>
        <v>0.23087113987866992</v>
      </c>
      <c r="S88" s="28">
        <f t="shared" si="51"/>
        <v>1.3097284277950119</v>
      </c>
      <c r="T88" s="28">
        <f t="shared" si="52"/>
        <v>-1.721782216987348</v>
      </c>
      <c r="U88" s="28">
        <f t="shared" si="53"/>
        <v>-0.6429249290710064</v>
      </c>
      <c r="V88" s="28">
        <f t="shared" si="54"/>
        <v>486.41692091767561</v>
      </c>
      <c r="W88" s="28">
        <f t="shared" si="55"/>
        <v>284.9324947950355</v>
      </c>
      <c r="X88" s="28">
        <f t="shared" si="56"/>
        <v>-8.2415490068954256</v>
      </c>
      <c r="Y88" s="28">
        <f t="shared" si="57"/>
        <v>96.314912231804755</v>
      </c>
      <c r="Z88" s="28">
        <f t="shared" si="58"/>
        <v>96.92796488393995</v>
      </c>
      <c r="AA88" s="28">
        <f t="shared" si="59"/>
        <v>1455.6424737722582</v>
      </c>
      <c r="AB88" s="32">
        <f t="shared" si="60"/>
        <v>1552.5704386561981</v>
      </c>
      <c r="AC88" s="22">
        <f>INDEX(Data_Cert!$E$4:$E$195,MATCH($A88,Data_Cert!$A$4:$A$195,0))</f>
        <v>1726.84</v>
      </c>
      <c r="AD88" s="22">
        <f t="shared" si="61"/>
        <v>-174.2695613438018</v>
      </c>
      <c r="AE88" s="23">
        <f t="shared" si="62"/>
        <v>-0.10091818659736965</v>
      </c>
      <c r="AF88" s="36">
        <f>Data_Stock!D88</f>
        <v>1554.6</v>
      </c>
    </row>
    <row r="89" spans="1:32" x14ac:dyDescent="0.2">
      <c r="A89" s="35">
        <f>Data_Stock!A89</f>
        <v>46034</v>
      </c>
      <c r="B89" s="36">
        <f>Data_Stock!B89</f>
        <v>1871.3</v>
      </c>
      <c r="C89" s="37">
        <f>Data_Stock!C89</f>
        <v>0.48399999999999999</v>
      </c>
      <c r="D89" s="38">
        <f t="shared" si="42"/>
        <v>1.4301369863013698</v>
      </c>
      <c r="E89" s="28">
        <f>INDEX(Data_Svensson!$B$4:$B$202,MATCH($A89,Data_Svensson!$A$4:$A$202,1))</f>
        <v>1.152039</v>
      </c>
      <c r="F89" s="28">
        <f>INDEX(Data_Svensson!$C$4:$C$202,MATCH($A89,Data_Svensson!$A$4:$A$202,1))</f>
        <v>0.82865100000000003</v>
      </c>
      <c r="G89" s="28">
        <f>INDEX(Data_Svensson!$D$4:$D$202,MATCH($A89,Data_Svensson!$A$4:$A$202,1))</f>
        <v>-0.48908200000000002</v>
      </c>
      <c r="H89" s="28">
        <f>INDEX(Data_Svensson!$E$4:$E$202,MATCH($A89,Data_Svensson!$A$4:$A$202,1))</f>
        <v>7.5689320000000002</v>
      </c>
      <c r="I89" s="28">
        <f>INDEX(Data_Svensson!$F$4:$F$202,MATCH($A89,Data_Svensson!$A$4:$A$202,1))</f>
        <v>2.5681989999999999</v>
      </c>
      <c r="J89" s="28">
        <f>INDEX(Data_Svensson!$G$4:$G$202,MATCH($A89,Data_Svensson!$A$4:$A$202,1))</f>
        <v>14.889392000000001</v>
      </c>
      <c r="K89" s="28">
        <f t="shared" si="43"/>
        <v>0.7667884020147504</v>
      </c>
      <c r="L89" s="28">
        <f t="shared" si="44"/>
        <v>0.19378508505536307</v>
      </c>
      <c r="M89" s="28">
        <f t="shared" si="45"/>
        <v>4.5058104000103794E-2</v>
      </c>
      <c r="N89" s="29">
        <f t="shared" si="46"/>
        <v>2.0337039043745911E-2</v>
      </c>
      <c r="O89" s="29">
        <f t="shared" si="47"/>
        <v>1.4337039043745911E-2</v>
      </c>
      <c r="P89" s="28">
        <f t="shared" si="48"/>
        <v>0.57880754129763512</v>
      </c>
      <c r="Q89" s="28">
        <f t="shared" si="49"/>
        <v>-0.43879755889391986</v>
      </c>
      <c r="R89" s="28">
        <f t="shared" si="50"/>
        <v>0.20991297109102039</v>
      </c>
      <c r="S89" s="28">
        <f t="shared" si="51"/>
        <v>1.3231621435982099</v>
      </c>
      <c r="T89" s="28">
        <f t="shared" si="52"/>
        <v>-1.7867549058917174</v>
      </c>
      <c r="U89" s="28">
        <f t="shared" si="53"/>
        <v>-0.67350573338452779</v>
      </c>
      <c r="V89" s="28">
        <f t="shared" si="54"/>
        <v>477.45839243948183</v>
      </c>
      <c r="W89" s="28">
        <f t="shared" si="55"/>
        <v>271.23013437447577</v>
      </c>
      <c r="X89" s="28">
        <f t="shared" si="56"/>
        <v>-6.8402773207255656</v>
      </c>
      <c r="Y89" s="28">
        <f t="shared" si="57"/>
        <v>96.653662484304391</v>
      </c>
      <c r="Z89" s="28">
        <f t="shared" si="58"/>
        <v>102.73431825997611</v>
      </c>
      <c r="AA89" s="28">
        <f t="shared" si="59"/>
        <v>1465.2098850225184</v>
      </c>
      <c r="AB89" s="32">
        <f t="shared" si="60"/>
        <v>1567.9442032824945</v>
      </c>
      <c r="AC89" s="22">
        <f>INDEX(Data_Cert!$E$4:$E$195,MATCH($A89,Data_Cert!$A$4:$A$195,0))</f>
        <v>1728.52</v>
      </c>
      <c r="AD89" s="22">
        <f t="shared" si="61"/>
        <v>-160.57579671750545</v>
      </c>
      <c r="AE89" s="23">
        <f t="shared" si="62"/>
        <v>-9.2897852913189E-2</v>
      </c>
      <c r="AF89" s="36">
        <f>Data_Stock!D89</f>
        <v>1585.42</v>
      </c>
    </row>
    <row r="90" spans="1:32" x14ac:dyDescent="0.2">
      <c r="A90" s="35">
        <f>Data_Stock!A90</f>
        <v>46035</v>
      </c>
      <c r="B90" s="36">
        <f>Data_Stock!B90</f>
        <v>1885.16</v>
      </c>
      <c r="C90" s="37">
        <f>Data_Stock!C90</f>
        <v>0.47</v>
      </c>
      <c r="D90" s="38">
        <f t="shared" si="42"/>
        <v>1.4273972602739726</v>
      </c>
      <c r="E90" s="28">
        <f>INDEX(Data_Svensson!$B$4:$B$202,MATCH($A90,Data_Svensson!$A$4:$A$202,1))</f>
        <v>1.1626860000000001</v>
      </c>
      <c r="F90" s="28">
        <f>INDEX(Data_Svensson!$C$4:$C$202,MATCH($A90,Data_Svensson!$A$4:$A$202,1))</f>
        <v>0.82637799999999995</v>
      </c>
      <c r="G90" s="28">
        <f>INDEX(Data_Svensson!$D$4:$D$202,MATCH($A90,Data_Svensson!$A$4:$A$202,1))</f>
        <v>-0.248694</v>
      </c>
      <c r="H90" s="28">
        <f>INDEX(Data_Svensson!$E$4:$E$202,MATCH($A90,Data_Svensson!$A$4:$A$202,1))</f>
        <v>7.5949749999999998</v>
      </c>
      <c r="I90" s="28">
        <f>INDEX(Data_Svensson!$F$4:$F$202,MATCH($A90,Data_Svensson!$A$4:$A$202,1))</f>
        <v>2.0209299999999999</v>
      </c>
      <c r="J90" s="28">
        <f>INDEX(Data_Svensson!$G$4:$G$202,MATCH($A90,Data_Svensson!$A$4:$A$202,1))</f>
        <v>15.274082</v>
      </c>
      <c r="K90" s="28">
        <f t="shared" si="43"/>
        <v>0.71716233253223693</v>
      </c>
      <c r="L90" s="28">
        <f t="shared" si="44"/>
        <v>0.22369919854353215</v>
      </c>
      <c r="M90" s="28">
        <f t="shared" si="45"/>
        <v>4.3914540259824997E-2</v>
      </c>
      <c r="N90" s="29">
        <f t="shared" si="46"/>
        <v>2.0332303609606042E-2</v>
      </c>
      <c r="O90" s="29">
        <f t="shared" si="47"/>
        <v>1.4332303609606042E-2</v>
      </c>
      <c r="P90" s="28">
        <f t="shared" si="48"/>
        <v>0.56152653970629074</v>
      </c>
      <c r="Q90" s="28">
        <f t="shared" si="49"/>
        <v>-0.43511858936348558</v>
      </c>
      <c r="R90" s="28">
        <f t="shared" si="50"/>
        <v>0.21188568529590021</v>
      </c>
      <c r="S90" s="28">
        <f t="shared" si="51"/>
        <v>1.3593951453608641</v>
      </c>
      <c r="T90" s="28">
        <f t="shared" si="52"/>
        <v>-1.8725127977075673</v>
      </c>
      <c r="U90" s="28">
        <f t="shared" si="53"/>
        <v>-0.7250033376426035</v>
      </c>
      <c r="V90" s="28">
        <f t="shared" si="54"/>
        <v>459.24396565537438</v>
      </c>
      <c r="W90" s="28">
        <f t="shared" si="55"/>
        <v>250.16077863344699</v>
      </c>
      <c r="X90" s="28">
        <f t="shared" si="56"/>
        <v>-5.358914310116937</v>
      </c>
      <c r="Y90" s="28">
        <f t="shared" si="57"/>
        <v>94.475941917364423</v>
      </c>
      <c r="Z90" s="28">
        <f t="shared" si="58"/>
        <v>109.24833079444602</v>
      </c>
      <c r="AA90" s="28">
        <f t="shared" si="59"/>
        <v>1483.5456881910427</v>
      </c>
      <c r="AB90" s="32">
        <f t="shared" si="60"/>
        <v>1592.7940189854887</v>
      </c>
      <c r="AC90" s="22">
        <f>INDEX(Data_Cert!$E$4:$E$195,MATCH($A90,Data_Cert!$A$4:$A$195,0))</f>
        <v>1728.95</v>
      </c>
      <c r="AD90" s="22">
        <f t="shared" si="61"/>
        <v>-136.15598101451133</v>
      </c>
      <c r="AE90" s="23">
        <f t="shared" si="62"/>
        <v>-7.8750675852113317E-2</v>
      </c>
      <c r="AF90" s="36">
        <f>Data_Stock!D90</f>
        <v>1598.03</v>
      </c>
    </row>
    <row r="91" spans="1:32" x14ac:dyDescent="0.2">
      <c r="A91" s="35">
        <f>Data_Stock!A91</f>
        <v>46036</v>
      </c>
      <c r="B91" s="36">
        <f>Data_Stock!B91</f>
        <v>1880.21</v>
      </c>
      <c r="C91" s="37">
        <f>Data_Stock!C91</f>
        <v>0.45600000000000002</v>
      </c>
      <c r="D91" s="38">
        <f t="shared" si="42"/>
        <v>1.4246575342465753</v>
      </c>
      <c r="E91" s="28">
        <f>INDEX(Data_Svensson!$B$4:$B$202,MATCH($A91,Data_Svensson!$A$4:$A$202,1))</f>
        <v>1.162366</v>
      </c>
      <c r="F91" s="28">
        <f>INDEX(Data_Svensson!$C$4:$C$202,MATCH($A91,Data_Svensson!$A$4:$A$202,1))</f>
        <v>0.82449799999999995</v>
      </c>
      <c r="G91" s="28">
        <f>INDEX(Data_Svensson!$D$4:$D$202,MATCH($A91,Data_Svensson!$A$4:$A$202,1))</f>
        <v>-8.4164000000000003E-2</v>
      </c>
      <c r="H91" s="28">
        <f>INDEX(Data_Svensson!$E$4:$E$202,MATCH($A91,Data_Svensson!$A$4:$A$202,1))</f>
        <v>7.5326279999999999</v>
      </c>
      <c r="I91" s="28">
        <f>INDEX(Data_Svensson!$F$4:$F$202,MATCH($A91,Data_Svensson!$A$4:$A$202,1))</f>
        <v>1.6493</v>
      </c>
      <c r="J91" s="28">
        <f>INDEX(Data_Svensson!$G$4:$G$202,MATCH($A91,Data_Svensson!$A$4:$A$202,1))</f>
        <v>15.539031</v>
      </c>
      <c r="K91" s="28">
        <f t="shared" si="43"/>
        <v>0.66965044731932477</v>
      </c>
      <c r="L91" s="28">
        <f t="shared" si="44"/>
        <v>0.24809133441388936</v>
      </c>
      <c r="M91" s="28">
        <f t="shared" si="45"/>
        <v>4.3133386463239387E-2</v>
      </c>
      <c r="N91" s="29">
        <f t="shared" si="46"/>
        <v>2.0185188500520961E-2</v>
      </c>
      <c r="O91" s="29">
        <f t="shared" si="47"/>
        <v>1.4185188500520961E-2</v>
      </c>
      <c r="P91" s="28">
        <f t="shared" si="48"/>
        <v>0.54427712522307592</v>
      </c>
      <c r="Q91" s="28">
        <f t="shared" si="49"/>
        <v>-0.43178098789761771</v>
      </c>
      <c r="R91" s="28">
        <f t="shared" si="50"/>
        <v>0.19579019110935603</v>
      </c>
      <c r="S91" s="28">
        <f t="shared" si="51"/>
        <v>1.3796669085562248</v>
      </c>
      <c r="T91" s="28">
        <f t="shared" si="52"/>
        <v>-1.9450064051947313</v>
      </c>
      <c r="U91" s="28">
        <f t="shared" si="53"/>
        <v>-0.76112968774786305</v>
      </c>
      <c r="V91" s="28">
        <f t="shared" si="54"/>
        <v>449.03566399936449</v>
      </c>
      <c r="W91" s="28">
        <f t="shared" si="55"/>
        <v>235.75646143724725</v>
      </c>
      <c r="X91" s="28">
        <f t="shared" si="56"/>
        <v>-4.3215143548595556</v>
      </c>
      <c r="Y91" s="28">
        <f t="shared" si="57"/>
        <v>93.446517007294034</v>
      </c>
      <c r="Z91" s="28">
        <f t="shared" si="58"/>
        <v>115.51117119996366</v>
      </c>
      <c r="AA91" s="28">
        <f t="shared" si="59"/>
        <v>1494.2694678623338</v>
      </c>
      <c r="AB91" s="32">
        <f t="shared" si="60"/>
        <v>1609.7806390622975</v>
      </c>
      <c r="AC91" s="22">
        <f>INDEX(Data_Cert!$E$4:$E$195,MATCH($A91,Data_Cert!$A$4:$A$195,0))</f>
        <v>1711.14</v>
      </c>
      <c r="AD91" s="22">
        <f t="shared" si="61"/>
        <v>-101.3593609377026</v>
      </c>
      <c r="AE91" s="23">
        <f t="shared" si="62"/>
        <v>-5.923499008713641E-2</v>
      </c>
      <c r="AF91" s="36">
        <f>Data_Stock!D91</f>
        <v>1625.4</v>
      </c>
    </row>
    <row r="92" spans="1:32" x14ac:dyDescent="0.2">
      <c r="A92" s="35">
        <f>Data_Stock!A92</f>
        <v>46037</v>
      </c>
      <c r="B92" s="36">
        <f>Data_Stock!B92</f>
        <v>1894.56</v>
      </c>
      <c r="C92" s="37">
        <f>Data_Stock!C92</f>
        <v>0.443</v>
      </c>
      <c r="D92" s="38">
        <f t="shared" si="42"/>
        <v>1.4219178082191781</v>
      </c>
      <c r="E92" s="28">
        <f>INDEX(Data_Svensson!$B$4:$B$202,MATCH($A92,Data_Svensson!$A$4:$A$202,1))</f>
        <v>1.1631800000000001</v>
      </c>
      <c r="F92" s="28">
        <f>INDEX(Data_Svensson!$C$4:$C$202,MATCH($A92,Data_Svensson!$A$4:$A$202,1))</f>
        <v>0.82245999999999997</v>
      </c>
      <c r="G92" s="28">
        <f>INDEX(Data_Svensson!$D$4:$D$202,MATCH($A92,Data_Svensson!$A$4:$A$202,1))</f>
        <v>2.8479999999999998E-3</v>
      </c>
      <c r="H92" s="28">
        <f>INDEX(Data_Svensson!$E$4:$E$202,MATCH($A92,Data_Svensson!$A$4:$A$202,1))</f>
        <v>7.3831860000000002</v>
      </c>
      <c r="I92" s="28">
        <f>INDEX(Data_Svensson!$F$4:$F$202,MATCH($A92,Data_Svensson!$A$4:$A$202,1))</f>
        <v>1.5673619999999999</v>
      </c>
      <c r="J92" s="28">
        <f>INDEX(Data_Svensson!$G$4:$G$202,MATCH($A92,Data_Svensson!$A$4:$A$202,1))</f>
        <v>15.355162999999999</v>
      </c>
      <c r="K92" s="28">
        <f t="shared" si="43"/>
        <v>0.65734787857570975</v>
      </c>
      <c r="L92" s="28">
        <f t="shared" si="44"/>
        <v>0.25369681056583054</v>
      </c>
      <c r="M92" s="28">
        <f t="shared" si="45"/>
        <v>4.3539449300670774E-2</v>
      </c>
      <c r="N92" s="29">
        <f t="shared" si="46"/>
        <v>2.0260047172542917E-2</v>
      </c>
      <c r="O92" s="29">
        <f t="shared" si="47"/>
        <v>1.4260047172542917E-2</v>
      </c>
      <c r="P92" s="28">
        <f t="shared" si="48"/>
        <v>0.52825178461147249</v>
      </c>
      <c r="Q92" s="28">
        <f t="shared" si="49"/>
        <v>-0.42733696899070606</v>
      </c>
      <c r="R92" s="28">
        <f t="shared" si="50"/>
        <v>0.19998234385814723</v>
      </c>
      <c r="S92" s="28">
        <f t="shared" si="51"/>
        <v>1.4197738053568258</v>
      </c>
      <c r="T92" s="28">
        <f t="shared" si="52"/>
        <v>-2.0345447306321556</v>
      </c>
      <c r="U92" s="28">
        <f t="shared" si="53"/>
        <v>-0.81475326913347712</v>
      </c>
      <c r="V92" s="28">
        <f t="shared" si="54"/>
        <v>431.22956727058613</v>
      </c>
      <c r="W92" s="28">
        <f t="shared" si="55"/>
        <v>215.8533434722122</v>
      </c>
      <c r="X92" s="28">
        <f t="shared" si="56"/>
        <v>-3.3095283351049396</v>
      </c>
      <c r="Y92" s="28">
        <f t="shared" si="57"/>
        <v>90.077371089188745</v>
      </c>
      <c r="Z92" s="28">
        <f t="shared" si="58"/>
        <v>121.98932437408024</v>
      </c>
      <c r="AA92" s="28">
        <f t="shared" si="59"/>
        <v>1511.976184579069</v>
      </c>
      <c r="AB92" s="32">
        <f t="shared" si="60"/>
        <v>1633.9655089531493</v>
      </c>
      <c r="AC92" s="22">
        <f>INDEX(Data_Cert!$E$4:$E$195,MATCH($A92,Data_Cert!$A$4:$A$195,0))</f>
        <v>1719.37</v>
      </c>
      <c r="AD92" s="22">
        <f t="shared" si="61"/>
        <v>-85.40449104685058</v>
      </c>
      <c r="AE92" s="23">
        <f t="shared" si="62"/>
        <v>-4.9671967666558438E-2</v>
      </c>
      <c r="AF92" s="36">
        <f>Data_Stock!D92</f>
        <v>1636.68</v>
      </c>
    </row>
    <row r="93" spans="1:32" x14ac:dyDescent="0.2">
      <c r="A93" s="35">
        <f>Data_Stock!A93</f>
        <v>46038</v>
      </c>
      <c r="B93" s="36">
        <f>Data_Stock!B93</f>
        <v>1883.18</v>
      </c>
      <c r="C93" s="37">
        <f>Data_Stock!C93</f>
        <v>0.43</v>
      </c>
      <c r="D93" s="38">
        <f t="shared" si="42"/>
        <v>1.4191780821917808</v>
      </c>
      <c r="E93" s="28">
        <f>INDEX(Data_Svensson!$B$4:$B$202,MATCH($A93,Data_Svensson!$A$4:$A$202,1))</f>
        <v>1.1834150000000001</v>
      </c>
      <c r="F93" s="28">
        <f>INDEX(Data_Svensson!$C$4:$C$202,MATCH($A93,Data_Svensson!$A$4:$A$202,1))</f>
        <v>0.79304300000000005</v>
      </c>
      <c r="G93" s="28">
        <f>INDEX(Data_Svensson!$D$4:$D$202,MATCH($A93,Data_Svensson!$A$4:$A$202,1))</f>
        <v>4.088E-2</v>
      </c>
      <c r="H93" s="28">
        <f>INDEX(Data_Svensson!$E$4:$E$202,MATCH($A93,Data_Svensson!$A$4:$A$202,1))</f>
        <v>7.3900629999999996</v>
      </c>
      <c r="I93" s="28">
        <f>INDEX(Data_Svensson!$F$4:$F$202,MATCH($A93,Data_Svensson!$A$4:$A$202,1))</f>
        <v>1.5875699999999999</v>
      </c>
      <c r="J93" s="28">
        <f>INDEX(Data_Svensson!$G$4:$G$202,MATCH($A93,Data_Svensson!$A$4:$A$202,1))</f>
        <v>15.347239999999999</v>
      </c>
      <c r="K93" s="28">
        <f t="shared" si="43"/>
        <v>0.66107491429947352</v>
      </c>
      <c r="L93" s="28">
        <f t="shared" si="44"/>
        <v>0.2520302920532877</v>
      </c>
      <c r="M93" s="28">
        <f t="shared" si="45"/>
        <v>4.3481751603651531E-2</v>
      </c>
      <c r="N93" s="29">
        <f t="shared" si="46"/>
        <v>2.0393117153012719E-2</v>
      </c>
      <c r="O93" s="29">
        <f t="shared" si="47"/>
        <v>1.4393117153012719E-2</v>
      </c>
      <c r="P93" s="28">
        <f t="shared" si="48"/>
        <v>0.51225582221899668</v>
      </c>
      <c r="Q93" s="28">
        <f t="shared" si="49"/>
        <v>-0.42215728959971482</v>
      </c>
      <c r="R93" s="28">
        <f t="shared" si="50"/>
        <v>0.17851249867130881</v>
      </c>
      <c r="S93" s="28">
        <f t="shared" si="51"/>
        <v>1.436393792434411</v>
      </c>
      <c r="T93" s="28">
        <f t="shared" si="52"/>
        <v>-2.10226850073881</v>
      </c>
      <c r="U93" s="28">
        <f t="shared" si="53"/>
        <v>-0.8443872069757079</v>
      </c>
      <c r="V93" s="28">
        <f t="shared" si="54"/>
        <v>424.10897575622516</v>
      </c>
      <c r="W93" s="28">
        <f t="shared" si="55"/>
        <v>204.40353653322859</v>
      </c>
      <c r="X93" s="28">
        <f t="shared" si="56"/>
        <v>-2.6723868490171707</v>
      </c>
      <c r="Y93" s="28">
        <f t="shared" si="57"/>
        <v>88.852423247392238</v>
      </c>
      <c r="Z93" s="28">
        <f t="shared" si="58"/>
        <v>128.18062912658718</v>
      </c>
      <c r="AA93" s="28">
        <f t="shared" si="59"/>
        <v>1518.8376804424922</v>
      </c>
      <c r="AB93" s="32">
        <f t="shared" si="60"/>
        <v>1647.0183095690795</v>
      </c>
      <c r="AC93" s="22">
        <f>INDEX(Data_Cert!$E$4:$E$195,MATCH($A93,Data_Cert!$A$4:$A$195,0))</f>
        <v>1716.97</v>
      </c>
      <c r="AD93" s="22">
        <f t="shared" si="61"/>
        <v>-69.951690430920507</v>
      </c>
      <c r="AE93" s="23">
        <f t="shared" si="62"/>
        <v>-4.0741358574069735E-2</v>
      </c>
      <c r="AF93" s="36">
        <f>Data_Stock!D93</f>
        <v>1663.81</v>
      </c>
    </row>
    <row r="94" spans="1:32" x14ac:dyDescent="0.2">
      <c r="A94" s="35">
        <f>Data_Stock!A94</f>
        <v>46041</v>
      </c>
      <c r="B94" s="36">
        <f>Data_Stock!B94</f>
        <v>1901</v>
      </c>
      <c r="C94" s="37">
        <f>Data_Stock!C94</f>
        <v>0.41799999999999998</v>
      </c>
      <c r="D94" s="38">
        <f t="shared" si="42"/>
        <v>1.4109589041095891</v>
      </c>
      <c r="E94" s="28">
        <f>INDEX(Data_Svensson!$B$4:$B$202,MATCH($A94,Data_Svensson!$A$4:$A$202,1))</f>
        <v>1.187783</v>
      </c>
      <c r="F94" s="28">
        <f>INDEX(Data_Svensson!$C$4:$C$202,MATCH($A94,Data_Svensson!$A$4:$A$202,1))</f>
        <v>0.80737300000000001</v>
      </c>
      <c r="G94" s="28">
        <f>INDEX(Data_Svensson!$D$4:$D$202,MATCH($A94,Data_Svensson!$A$4:$A$202,1))</f>
        <v>-0.29112500000000002</v>
      </c>
      <c r="H94" s="28">
        <f>INDEX(Data_Svensson!$E$4:$E$202,MATCH($A94,Data_Svensson!$A$4:$A$202,1))</f>
        <v>7.4514399999999998</v>
      </c>
      <c r="I94" s="28">
        <f>INDEX(Data_Svensson!$F$4:$F$202,MATCH($A94,Data_Svensson!$A$4:$A$202,1))</f>
        <v>1.9078759999999999</v>
      </c>
      <c r="J94" s="28">
        <f>INDEX(Data_Svensson!$G$4:$G$202,MATCH($A94,Data_Svensson!$A$4:$A$202,1))</f>
        <v>15.159114000000001</v>
      </c>
      <c r="K94" s="28">
        <f t="shared" si="43"/>
        <v>0.70674414516625439</v>
      </c>
      <c r="L94" s="28">
        <f t="shared" si="44"/>
        <v>0.22941278010355987</v>
      </c>
      <c r="M94" s="28">
        <f t="shared" si="45"/>
        <v>4.3748891448116556E-2</v>
      </c>
      <c r="N94" s="29">
        <f t="shared" si="46"/>
        <v>2.0175935847998192E-2</v>
      </c>
      <c r="O94" s="29">
        <f t="shared" si="47"/>
        <v>1.4175935847998191E-2</v>
      </c>
      <c r="P94" s="28">
        <f t="shared" si="48"/>
        <v>0.49651624702686603</v>
      </c>
      <c r="Q94" s="28">
        <f t="shared" si="49"/>
        <v>-0.41886669348230243</v>
      </c>
      <c r="R94" s="28">
        <f t="shared" si="50"/>
        <v>0.18629549020776168</v>
      </c>
      <c r="S94" s="28">
        <f t="shared" si="51"/>
        <v>1.4840516467261358</v>
      </c>
      <c r="T94" s="28">
        <f t="shared" si="52"/>
        <v>-2.2047235464955492</v>
      </c>
      <c r="U94" s="28">
        <f t="shared" si="53"/>
        <v>-0.90696738997717452</v>
      </c>
      <c r="V94" s="28">
        <f t="shared" si="54"/>
        <v>405.50385326984281</v>
      </c>
      <c r="W94" s="28">
        <f t="shared" si="55"/>
        <v>184.43399612900797</v>
      </c>
      <c r="X94" s="28">
        <f t="shared" si="56"/>
        <v>-1.9489186903280888</v>
      </c>
      <c r="Y94" s="28">
        <f t="shared" si="57"/>
        <v>84.158710218611475</v>
      </c>
      <c r="Z94" s="28">
        <f t="shared" si="58"/>
        <v>134.96222823189527</v>
      </c>
      <c r="AA94" s="28">
        <f t="shared" si="59"/>
        <v>1538.3640723347967</v>
      </c>
      <c r="AB94" s="32">
        <f t="shared" si="60"/>
        <v>1673.326300566692</v>
      </c>
      <c r="AC94" s="22">
        <f>INDEX(Data_Cert!$E$4:$E$195,MATCH($A94,Data_Cert!$A$4:$A$195,0))</f>
        <v>1728.87</v>
      </c>
      <c r="AD94" s="22">
        <f t="shared" si="61"/>
        <v>-55.543699433307893</v>
      </c>
      <c r="AE94" s="23">
        <f t="shared" si="62"/>
        <v>-3.2127169442067879E-2</v>
      </c>
      <c r="AF94" s="36">
        <f>Data_Stock!D94</f>
        <v>1674.97</v>
      </c>
    </row>
    <row r="95" spans="1:32" x14ac:dyDescent="0.2">
      <c r="A95" s="35">
        <f>Data_Stock!A95</f>
        <v>46042</v>
      </c>
      <c r="B95" s="36">
        <f>Data_Stock!B95</f>
        <v>1890.11</v>
      </c>
      <c r="C95" s="37">
        <f>Data_Stock!C95</f>
        <v>0.40600000000000003</v>
      </c>
      <c r="D95" s="38">
        <f t="shared" si="42"/>
        <v>1.4082191780821918</v>
      </c>
      <c r="E95" s="28">
        <f>INDEX(Data_Svensson!$B$4:$B$202,MATCH($A95,Data_Svensson!$A$4:$A$202,1))</f>
        <v>1.1865790000000001</v>
      </c>
      <c r="F95" s="28">
        <f>INDEX(Data_Svensson!$C$4:$C$202,MATCH($A95,Data_Svensson!$A$4:$A$202,1))</f>
        <v>0.79327800000000004</v>
      </c>
      <c r="G95" s="28">
        <f>INDEX(Data_Svensson!$D$4:$D$202,MATCH($A95,Data_Svensson!$A$4:$A$202,1))</f>
        <v>-7.8001000000000001E-2</v>
      </c>
      <c r="H95" s="28">
        <f>INDEX(Data_Svensson!$E$4:$E$202,MATCH($A95,Data_Svensson!$A$4:$A$202,1))</f>
        <v>7.6539760000000001</v>
      </c>
      <c r="I95" s="28">
        <f>INDEX(Data_Svensson!$F$4:$F$202,MATCH($A95,Data_Svensson!$A$4:$A$202,1))</f>
        <v>1.4640219999999999</v>
      </c>
      <c r="J95" s="28">
        <f>INDEX(Data_Svensson!$G$4:$G$202,MATCH($A95,Data_Svensson!$A$4:$A$202,1))</f>
        <v>15.319129</v>
      </c>
      <c r="K95" s="28">
        <f t="shared" si="43"/>
        <v>0.6423101262055938</v>
      </c>
      <c r="L95" s="28">
        <f t="shared" si="44"/>
        <v>0.26013788972220103</v>
      </c>
      <c r="M95" s="28">
        <f t="shared" si="45"/>
        <v>4.3240765379300994E-2</v>
      </c>
      <c r="N95" s="29">
        <f t="shared" si="46"/>
        <v>2.0067822571947006E-2</v>
      </c>
      <c r="O95" s="29">
        <f t="shared" si="47"/>
        <v>1.4067822571947006E-2</v>
      </c>
      <c r="P95" s="28">
        <f t="shared" si="48"/>
        <v>0.48179374885769971</v>
      </c>
      <c r="Q95" s="28">
        <f t="shared" si="49"/>
        <v>-0.41465564214160128</v>
      </c>
      <c r="R95" s="28">
        <f t="shared" si="50"/>
        <v>0.16471993217679132</v>
      </c>
      <c r="S95" s="28">
        <f t="shared" si="51"/>
        <v>1.5021325032577573</v>
      </c>
      <c r="T95" s="28">
        <f t="shared" si="52"/>
        <v>-2.2755145692481209</v>
      </c>
      <c r="U95" s="28">
        <f t="shared" si="53"/>
        <v>-0.93810199816715489</v>
      </c>
      <c r="V95" s="28">
        <f t="shared" si="54"/>
        <v>399.51801367748237</v>
      </c>
      <c r="W95" s="28">
        <f t="shared" si="55"/>
        <v>174.30395055837243</v>
      </c>
      <c r="X95" s="28">
        <f t="shared" si="56"/>
        <v>-1.5465650053355269</v>
      </c>
      <c r="Y95" s="28">
        <f t="shared" si="57"/>
        <v>82.398634835646305</v>
      </c>
      <c r="Z95" s="28">
        <f t="shared" si="58"/>
        <v>141.26886327812809</v>
      </c>
      <c r="AA95" s="28">
        <f t="shared" si="59"/>
        <v>1544.7533525008876</v>
      </c>
      <c r="AB95" s="32">
        <f t="shared" si="60"/>
        <v>1686.0222157790156</v>
      </c>
      <c r="AC95" s="22">
        <f>INDEX(Data_Cert!$E$4:$E$195,MATCH($A95,Data_Cert!$A$4:$A$195,0))</f>
        <v>1716.26</v>
      </c>
      <c r="AD95" s="22">
        <f t="shared" si="61"/>
        <v>-30.237784220984395</v>
      </c>
      <c r="AE95" s="23">
        <f t="shared" si="62"/>
        <v>-1.7618416918756128E-2</v>
      </c>
      <c r="AF95" s="36">
        <f>Data_Stock!D95</f>
        <v>1698.33</v>
      </c>
    </row>
    <row r="96" spans="1:32" x14ac:dyDescent="0.2">
      <c r="A96" s="35">
        <f>Data_Stock!A96</f>
        <v>46043</v>
      </c>
      <c r="B96" s="36">
        <f>Data_Stock!B96</f>
        <v>1835.16</v>
      </c>
      <c r="C96" s="37">
        <f>Data_Stock!C96</f>
        <v>0.41</v>
      </c>
      <c r="D96" s="38">
        <f t="shared" si="42"/>
        <v>1.4054794520547946</v>
      </c>
      <c r="E96" s="28">
        <f>INDEX(Data_Svensson!$B$4:$B$202,MATCH($A96,Data_Svensson!$A$4:$A$202,1))</f>
        <v>1.192377</v>
      </c>
      <c r="F96" s="28">
        <f>INDEX(Data_Svensson!$C$4:$C$202,MATCH($A96,Data_Svensson!$A$4:$A$202,1))</f>
        <v>0.77556000000000003</v>
      </c>
      <c r="G96" s="28">
        <f>INDEX(Data_Svensson!$D$4:$D$202,MATCH($A96,Data_Svensson!$A$4:$A$202,1))</f>
        <v>-6.9959999999999994E-2</v>
      </c>
      <c r="H96" s="28">
        <f>INDEX(Data_Svensson!$E$4:$E$202,MATCH($A96,Data_Svensson!$A$4:$A$202,1))</f>
        <v>7.6552150000000001</v>
      </c>
      <c r="I96" s="28">
        <f>INDEX(Data_Svensson!$F$4:$F$202,MATCH($A96,Data_Svensson!$A$4:$A$202,1))</f>
        <v>1.465454</v>
      </c>
      <c r="J96" s="28">
        <f>INDEX(Data_Svensson!$G$4:$G$202,MATCH($A96,Data_Svensson!$A$4:$A$202,1))</f>
        <v>15.310734</v>
      </c>
      <c r="K96" s="28">
        <f t="shared" si="43"/>
        <v>0.64307058750413371</v>
      </c>
      <c r="L96" s="28">
        <f t="shared" si="44"/>
        <v>0.25982314129146833</v>
      </c>
      <c r="M96" s="28">
        <f t="shared" si="45"/>
        <v>4.3183974378076972E-2</v>
      </c>
      <c r="N96" s="29">
        <f t="shared" si="46"/>
        <v>2.0035222062986257E-2</v>
      </c>
      <c r="O96" s="29">
        <f t="shared" si="47"/>
        <v>1.4035222062986257E-2</v>
      </c>
      <c r="P96" s="28">
        <f t="shared" si="48"/>
        <v>0.48606696646697867</v>
      </c>
      <c r="Q96" s="28">
        <f t="shared" si="49"/>
        <v>-0.416506709916798</v>
      </c>
      <c r="R96" s="28">
        <f t="shared" si="50"/>
        <v>0.10665455244268413</v>
      </c>
      <c r="S96" s="28">
        <f t="shared" si="51"/>
        <v>1.4323093713127673</v>
      </c>
      <c r="T96" s="28">
        <f t="shared" si="52"/>
        <v>-2.1907305632536924</v>
      </c>
      <c r="U96" s="28">
        <f t="shared" si="53"/>
        <v>-0.86507574438360935</v>
      </c>
      <c r="V96" s="28">
        <f t="shared" si="54"/>
        <v>427.05110723752807</v>
      </c>
      <c r="W96" s="28">
        <f t="shared" si="55"/>
        <v>196.12138273045801</v>
      </c>
      <c r="X96" s="28">
        <f t="shared" si="56"/>
        <v>-1.9964298903062669</v>
      </c>
      <c r="Y96" s="28">
        <f t="shared" si="57"/>
        <v>89.916592240580911</v>
      </c>
      <c r="Z96" s="28">
        <f t="shared" si="58"/>
        <v>139.01670237618288</v>
      </c>
      <c r="AA96" s="28">
        <f t="shared" si="59"/>
        <v>1517.416250752673</v>
      </c>
      <c r="AB96" s="32">
        <f t="shared" si="60"/>
        <v>1656.4329531288558</v>
      </c>
      <c r="AC96" s="22">
        <f>INDEX(Data_Cert!$E$4:$E$195,MATCH($A96,Data_Cert!$A$4:$A$195,0))</f>
        <v>1699.5</v>
      </c>
      <c r="AD96" s="22">
        <f t="shared" si="61"/>
        <v>-43.067046871144157</v>
      </c>
      <c r="AE96" s="23">
        <f t="shared" si="62"/>
        <v>-2.5341010221326364E-2</v>
      </c>
      <c r="AF96" s="36">
        <f>Data_Stock!D96</f>
        <v>1670.92</v>
      </c>
    </row>
    <row r="97" spans="1:32" x14ac:dyDescent="0.2">
      <c r="A97" s="35">
        <f>Data_Stock!A97</f>
        <v>46044</v>
      </c>
      <c r="B97" s="36">
        <f>Data_Stock!B97</f>
        <v>1772.78</v>
      </c>
      <c r="C97" s="37">
        <f>Data_Stock!C97</f>
        <v>0.42</v>
      </c>
      <c r="D97" s="38">
        <f t="shared" si="42"/>
        <v>1.4027397260273973</v>
      </c>
      <c r="E97" s="28">
        <f>INDEX(Data_Svensson!$B$4:$B$202,MATCH($A97,Data_Svensson!$A$4:$A$202,1))</f>
        <v>1.1949430000000001</v>
      </c>
      <c r="F97" s="28">
        <f>INDEX(Data_Svensson!$C$4:$C$202,MATCH($A97,Data_Svensson!$A$4:$A$202,1))</f>
        <v>0.78660699999999995</v>
      </c>
      <c r="G97" s="28">
        <f>INDEX(Data_Svensson!$D$4:$D$202,MATCH($A97,Data_Svensson!$A$4:$A$202,1))</f>
        <v>3.339E-3</v>
      </c>
      <c r="H97" s="28">
        <f>INDEX(Data_Svensson!$E$4:$E$202,MATCH($A97,Data_Svensson!$A$4:$A$202,1))</f>
        <v>7.5907220000000004</v>
      </c>
      <c r="I97" s="28">
        <f>INDEX(Data_Svensson!$F$4:$F$202,MATCH($A97,Data_Svensson!$A$4:$A$202,1))</f>
        <v>1.5045269999999999</v>
      </c>
      <c r="J97" s="28">
        <f>INDEX(Data_Svensson!$G$4:$G$202,MATCH($A97,Data_Svensson!$A$4:$A$202,1))</f>
        <v>15.314726</v>
      </c>
      <c r="K97" s="28">
        <f t="shared" si="43"/>
        <v>0.65037103013471431</v>
      </c>
      <c r="L97" s="28">
        <f t="shared" si="44"/>
        <v>0.25674185673159505</v>
      </c>
      <c r="M97" s="28">
        <f t="shared" si="45"/>
        <v>4.3094342353194426E-2</v>
      </c>
      <c r="N97" s="29">
        <f t="shared" si="46"/>
        <v>2.0345038385367286E-2</v>
      </c>
      <c r="O97" s="29">
        <f t="shared" si="47"/>
        <v>1.4345038385367286E-2</v>
      </c>
      <c r="P97" s="28">
        <f t="shared" si="48"/>
        <v>0.49743671725279076</v>
      </c>
      <c r="Q97" s="28">
        <f t="shared" si="49"/>
        <v>-0.41867892071787255</v>
      </c>
      <c r="R97" s="28">
        <f t="shared" si="50"/>
        <v>4.6731078753768307E-2</v>
      </c>
      <c r="S97" s="28">
        <f t="shared" si="51"/>
        <v>1.3420858325184757</v>
      </c>
      <c r="T97" s="28">
        <f t="shared" si="52"/>
        <v>-2.059099687587282</v>
      </c>
      <c r="U97" s="28">
        <f t="shared" si="53"/>
        <v>-0.76374493382257436</v>
      </c>
      <c r="V97" s="28">
        <f t="shared" si="54"/>
        <v>463.67739010516982</v>
      </c>
      <c r="W97" s="28">
        <f t="shared" si="55"/>
        <v>229.2668274944607</v>
      </c>
      <c r="X97" s="28">
        <f t="shared" si="56"/>
        <v>-2.9465574538111809</v>
      </c>
      <c r="Y97" s="28">
        <f t="shared" si="57"/>
        <v>99.53015622841346</v>
      </c>
      <c r="Z97" s="28">
        <f t="shared" si="58"/>
        <v>131.93384892848448</v>
      </c>
      <c r="AA97" s="28">
        <f t="shared" si="59"/>
        <v>1480.0517925290037</v>
      </c>
      <c r="AB97" s="32">
        <f t="shared" si="60"/>
        <v>1611.9856414574881</v>
      </c>
      <c r="AC97" s="22">
        <f>INDEX(Data_Cert!$E$4:$E$195,MATCH($A97,Data_Cert!$A$4:$A$195,0))</f>
        <v>1663.36</v>
      </c>
      <c r="AD97" s="22">
        <f t="shared" si="61"/>
        <v>-51.3743585425118</v>
      </c>
      <c r="AE97" s="23">
        <f t="shared" si="62"/>
        <v>-3.0885892736696688E-2</v>
      </c>
      <c r="AF97" s="36">
        <f>Data_Stock!D97</f>
        <v>1614.37</v>
      </c>
    </row>
    <row r="98" spans="1:32" x14ac:dyDescent="0.2">
      <c r="A98" s="35">
        <f>Data_Stock!A98</f>
        <v>46045</v>
      </c>
      <c r="B98" s="36">
        <f>Data_Stock!B98</f>
        <v>1811.89</v>
      </c>
      <c r="C98" s="37">
        <f>Data_Stock!C98</f>
        <v>0.41599999999999998</v>
      </c>
      <c r="D98" s="38">
        <f t="shared" si="42"/>
        <v>1.4</v>
      </c>
      <c r="E98" s="28">
        <f>INDEX(Data_Svensson!$B$4:$B$202,MATCH($A98,Data_Svensson!$A$4:$A$202,1))</f>
        <v>1.1902459999999999</v>
      </c>
      <c r="F98" s="28">
        <f>INDEX(Data_Svensson!$C$4:$C$202,MATCH($A98,Data_Svensson!$A$4:$A$202,1))</f>
        <v>0.77342599999999995</v>
      </c>
      <c r="G98" s="28">
        <f>INDEX(Data_Svensson!$D$4:$D$202,MATCH($A98,Data_Svensson!$A$4:$A$202,1))</f>
        <v>9.0567999999999996E-2</v>
      </c>
      <c r="H98" s="28">
        <f>INDEX(Data_Svensson!$E$4:$E$202,MATCH($A98,Data_Svensson!$A$4:$A$202,1))</f>
        <v>7.6365220000000003</v>
      </c>
      <c r="I98" s="28">
        <f>INDEX(Data_Svensson!$F$4:$F$202,MATCH($A98,Data_Svensson!$A$4:$A$202,1))</f>
        <v>1.558354</v>
      </c>
      <c r="J98" s="28">
        <f>INDEX(Data_Svensson!$G$4:$G$202,MATCH($A98,Data_Svensson!$A$4:$A$202,1))</f>
        <v>15.470363000000001</v>
      </c>
      <c r="K98" s="28">
        <f t="shared" si="43"/>
        <v>0.6598212358529264</v>
      </c>
      <c r="L98" s="28">
        <f t="shared" si="44"/>
        <v>0.2525939500077955</v>
      </c>
      <c r="M98" s="28">
        <f t="shared" si="45"/>
        <v>4.2608432987807809E-2</v>
      </c>
      <c r="N98" s="29">
        <f t="shared" si="46"/>
        <v>2.0488260639220116E-2</v>
      </c>
      <c r="O98" s="29">
        <f t="shared" si="47"/>
        <v>1.4488260639220115E-2</v>
      </c>
      <c r="P98" s="28">
        <f t="shared" si="48"/>
        <v>0.49221783795388802</v>
      </c>
      <c r="Q98" s="28">
        <f t="shared" si="49"/>
        <v>-0.41627992881367815</v>
      </c>
      <c r="R98" s="28">
        <f t="shared" si="50"/>
        <v>8.6640670904071154E-2</v>
      </c>
      <c r="S98" s="28">
        <f t="shared" si="51"/>
        <v>1.3957297910161262</v>
      </c>
      <c r="T98" s="28">
        <f t="shared" si="52"/>
        <v>-2.1301840483089389</v>
      </c>
      <c r="U98" s="28">
        <f t="shared" si="53"/>
        <v>-0.82109492819688423</v>
      </c>
      <c r="V98" s="28">
        <f t="shared" si="54"/>
        <v>441.42402284775892</v>
      </c>
      <c r="W98" s="28">
        <f t="shared" si="55"/>
        <v>209.64757143235005</v>
      </c>
      <c r="X98" s="28">
        <f t="shared" si="56"/>
        <v>-2.3920220641944354</v>
      </c>
      <c r="Y98" s="28">
        <f t="shared" si="57"/>
        <v>93.797737348730607</v>
      </c>
      <c r="Z98" s="28">
        <f t="shared" si="58"/>
        <v>135.58669200248383</v>
      </c>
      <c r="AA98" s="28">
        <f t="shared" si="59"/>
        <v>1502.0237839068268</v>
      </c>
      <c r="AB98" s="32">
        <f t="shared" si="60"/>
        <v>1637.6104759093107</v>
      </c>
      <c r="AC98" s="22">
        <f>INDEX(Data_Cert!$E$4:$E$195,MATCH($A98,Data_Cert!$A$4:$A$195,0))</f>
        <v>1688.19</v>
      </c>
      <c r="AD98" s="22">
        <f t="shared" si="61"/>
        <v>-50.579524090689347</v>
      </c>
      <c r="AE98" s="23">
        <f t="shared" si="62"/>
        <v>-2.9960800674503074E-2</v>
      </c>
      <c r="AF98" s="36">
        <f>Data_Stock!D98</f>
        <v>1642.8</v>
      </c>
    </row>
    <row r="99" spans="1:32" x14ac:dyDescent="0.2">
      <c r="A99" s="35">
        <f>Data_Stock!A99</f>
        <v>46048</v>
      </c>
      <c r="B99" s="36">
        <f>Data_Stock!B99</f>
        <v>1773.27</v>
      </c>
      <c r="C99" s="37">
        <f>Data_Stock!C99</f>
        <v>0.41199999999999998</v>
      </c>
      <c r="D99" s="38">
        <f t="shared" si="42"/>
        <v>1.3917808219178083</v>
      </c>
      <c r="E99" s="28">
        <f>INDEX(Data_Svensson!$B$4:$B$202,MATCH($A99,Data_Svensson!$A$4:$A$202,1))</f>
        <v>1.201786</v>
      </c>
      <c r="F99" s="28">
        <f>INDEX(Data_Svensson!$C$4:$C$202,MATCH($A99,Data_Svensson!$A$4:$A$202,1))</f>
        <v>0.77537599999999995</v>
      </c>
      <c r="G99" s="28">
        <f>INDEX(Data_Svensson!$D$4:$D$202,MATCH($A99,Data_Svensson!$A$4:$A$202,1))</f>
        <v>7.6973E-2</v>
      </c>
      <c r="H99" s="28">
        <f>INDEX(Data_Svensson!$E$4:$E$202,MATCH($A99,Data_Svensson!$A$4:$A$202,1))</f>
        <v>7.5099869999999997</v>
      </c>
      <c r="I99" s="28">
        <f>INDEX(Data_Svensson!$F$4:$F$202,MATCH($A99,Data_Svensson!$A$4:$A$202,1))</f>
        <v>1.4397930000000001</v>
      </c>
      <c r="J99" s="28">
        <f>INDEX(Data_Svensson!$G$4:$G$202,MATCH($A99,Data_Svensson!$A$4:$A$202,1))</f>
        <v>15.524957000000001</v>
      </c>
      <c r="K99" s="28">
        <f t="shared" si="43"/>
        <v>0.64102210080881061</v>
      </c>
      <c r="L99" s="28">
        <f t="shared" si="44"/>
        <v>0.26066830434721261</v>
      </c>
      <c r="M99" s="28">
        <f t="shared" si="45"/>
        <v>4.2233010354708833E-2</v>
      </c>
      <c r="N99" s="29">
        <f t="shared" si="46"/>
        <v>2.036052932561979E-2</v>
      </c>
      <c r="O99" s="29">
        <f t="shared" si="47"/>
        <v>1.436052932561979E-2</v>
      </c>
      <c r="P99" s="28">
        <f t="shared" si="48"/>
        <v>0.48605189417964045</v>
      </c>
      <c r="Q99" s="28">
        <f t="shared" si="49"/>
        <v>-0.4153988987792217</v>
      </c>
      <c r="R99" s="28">
        <f t="shared" si="50"/>
        <v>3.6597019044294021E-2</v>
      </c>
      <c r="S99" s="28">
        <f t="shared" si="51"/>
        <v>1.3622929459741966</v>
      </c>
      <c r="T99" s="28">
        <f t="shared" si="52"/>
        <v>-2.1196959277283729</v>
      </c>
      <c r="U99" s="28">
        <f t="shared" si="53"/>
        <v>-0.79400000079847044</v>
      </c>
      <c r="V99" s="28">
        <f t="shared" si="54"/>
        <v>455.67169224749875</v>
      </c>
      <c r="W99" s="28">
        <f t="shared" si="55"/>
        <v>218.05180113997707</v>
      </c>
      <c r="X99" s="28">
        <f t="shared" si="56"/>
        <v>-2.4420528266032697</v>
      </c>
      <c r="Y99" s="28">
        <f t="shared" si="57"/>
        <v>97.720651911233176</v>
      </c>
      <c r="Z99" s="28">
        <f t="shared" si="58"/>
        <v>137.45718636968525</v>
      </c>
      <c r="AA99" s="28">
        <f t="shared" si="59"/>
        <v>1488.4489955672361</v>
      </c>
      <c r="AB99" s="32">
        <f t="shared" si="60"/>
        <v>1625.9061819369213</v>
      </c>
      <c r="AC99" s="22">
        <f>INDEX(Data_Cert!$E$4:$E$195,MATCH($A99,Data_Cert!$A$4:$A$195,0))</f>
        <v>1674.47</v>
      </c>
      <c r="AD99" s="22">
        <f t="shared" si="61"/>
        <v>-48.56381806307877</v>
      </c>
      <c r="AE99" s="23">
        <f t="shared" si="62"/>
        <v>-2.9002501127567987E-2</v>
      </c>
      <c r="AF99" s="36">
        <f>Data_Stock!D99</f>
        <v>1639.85</v>
      </c>
    </row>
    <row r="100" spans="1:32" x14ac:dyDescent="0.2">
      <c r="A100" s="35">
        <f>Data_Stock!A100</f>
        <v>46049</v>
      </c>
      <c r="B100" s="36">
        <f>Data_Stock!B100</f>
        <v>1831.69</v>
      </c>
      <c r="C100" s="37">
        <f>Data_Stock!C100</f>
        <v>0.41899999999999998</v>
      </c>
      <c r="D100" s="38">
        <f t="shared" ref="D100:D131" si="63">MAX((MaturityDate-A100)/365,1/365)</f>
        <v>1.3890410958904109</v>
      </c>
      <c r="E100" s="28">
        <f>INDEX(Data_Svensson!$B$4:$B$202,MATCH($A100,Data_Svensson!$A$4:$A$202,1))</f>
        <v>1.2102919999999999</v>
      </c>
      <c r="F100" s="28">
        <f>INDEX(Data_Svensson!$C$4:$C$202,MATCH($A100,Data_Svensson!$A$4:$A$202,1))</f>
        <v>0.775953</v>
      </c>
      <c r="G100" s="28">
        <f>INDEX(Data_Svensson!$D$4:$D$202,MATCH($A100,Data_Svensson!$A$4:$A$202,1))</f>
        <v>3.2379999999999999E-2</v>
      </c>
      <c r="H100" s="28">
        <f>INDEX(Data_Svensson!$E$4:$E$202,MATCH($A100,Data_Svensson!$A$4:$A$202,1))</f>
        <v>7.5276439999999996</v>
      </c>
      <c r="I100" s="28">
        <f>INDEX(Data_Svensson!$F$4:$F$202,MATCH($A100,Data_Svensson!$A$4:$A$202,1))</f>
        <v>1.417111</v>
      </c>
      <c r="J100" s="28">
        <f>INDEX(Data_Svensson!$G$4:$G$202,MATCH($A100,Data_Svensson!$A$4:$A$202,1))</f>
        <v>15.530257000000001</v>
      </c>
      <c r="K100" s="28">
        <f t="shared" ref="K100:K131" si="64">(1-EXP(-D100/I100))/(D100/I100)</f>
        <v>0.63738625831292106</v>
      </c>
      <c r="L100" s="28">
        <f t="shared" ref="L100:L131" si="65">K100-EXP(-D100/I100)</f>
        <v>0.26214727333042387</v>
      </c>
      <c r="M100" s="28">
        <f t="shared" ref="M100:M131" si="66">(1-EXP(-D100/J100))/(D100/J100)-EXP(-D100/J100)</f>
        <v>4.2141261669769281E-2</v>
      </c>
      <c r="N100" s="29">
        <f t="shared" ref="N100:N131" si="67">(E100+F100*K100+G100*L100+H100*M100)/100</f>
        <v>2.030586523567994E-2</v>
      </c>
      <c r="O100" s="29">
        <f t="shared" ref="O100:O131" si="68">N100-q</f>
        <v>1.430586523567994E-2</v>
      </c>
      <c r="P100" s="28">
        <f t="shared" ref="P100:P131" si="69">C100*SQRT(D100)</f>
        <v>0.49382329211532378</v>
      </c>
      <c r="Q100" s="28">
        <f t="shared" ref="Q100:Q131" si="70">(O100-0.5*C100^2)/C100^2</f>
        <v>-0.41851342134255365</v>
      </c>
      <c r="R100" s="28">
        <f t="shared" ref="R100:R131" si="71">LN(B100/Cap)/P100+(1+Q100)*P100</f>
        <v>0.10913623335074679</v>
      </c>
      <c r="S100" s="28">
        <f t="shared" ref="S100:S131" si="72">LN(B100/Barrier)/P100+(1+Q100)*P100</f>
        <v>1.4139694129084961</v>
      </c>
      <c r="T100" s="28">
        <f t="shared" ref="T100:T131" si="73">LN(Barrier^2/(B100*Cap))/P100+(1+Q100)*P100</f>
        <v>-2.1444993592792536</v>
      </c>
      <c r="U100" s="28">
        <f t="shared" ref="U100:U131" si="74">LN(Barrier/B100)/P100+(1+Q100)*P100</f>
        <v>-0.83966617972150359</v>
      </c>
      <c r="V100" s="28">
        <f t="shared" ref="V100:V131" si="75">-B100*EXP((O100-N100)*D100)*NORMSDIST(-R100)+Cap*EXP(-N100*D100)*NORMSDIST(-R100+P100)</f>
        <v>434.07626996066153</v>
      </c>
      <c r="W100" s="28">
        <f t="shared" ref="W100:W131" si="76">-B100*EXP((O100-N100)*D100)*NORMSDIST(-S100)+Cap*EXP(-N100*D100)*NORMSDIST(-S100+P100)</f>
        <v>204.62271768115818</v>
      </c>
      <c r="X100" s="28">
        <f t="shared" ref="X100:X131" si="77">-B100*EXP((O100-N100)*D100)*(Barrier/B100)^(2*(Q100+1))*NORMSDIST(T100)+Cap*EXP(-N100*D100)*(Barrier/B100)^(2*Q100)*NORMSDIST(T100-P100)</f>
        <v>-2.3076223394226716</v>
      </c>
      <c r="Y100" s="28">
        <f t="shared" ref="Y100:Y131" si="78">-B100*EXP((O100-N100)*D100)*(Barrier/B100)^(2*(Q100+1))*NORMSDIST(U100)+Cap*EXP(-N100*D100)*(Barrier/B100)^(2*Q100)*NORMSDIST(U100-P100)</f>
        <v>91.755145345494981</v>
      </c>
      <c r="Z100" s="28">
        <f t="shared" ref="Z100:Z131" si="79">IF(B100&lt;=Barrier,0,V100-W100+X100-Y100)</f>
        <v>135.39078459458571</v>
      </c>
      <c r="AA100" s="28">
        <f t="shared" ref="AA100:AA131" si="80">Cap*EXP(-N100*D100)-V100</f>
        <v>1510.300500568982</v>
      </c>
      <c r="AB100" s="32">
        <f t="shared" ref="AB100:AB131" si="81">AA100+Z100</f>
        <v>1645.6912851635677</v>
      </c>
      <c r="AC100" s="22">
        <f>INDEX(Data_Cert!$E$4:$E$195,MATCH($A100,Data_Cert!$A$4:$A$195,0))</f>
        <v>1702.69</v>
      </c>
      <c r="AD100" s="22">
        <f t="shared" ref="AD100:AD131" si="82">AB100-AC100</f>
        <v>-56.998714836432328</v>
      </c>
      <c r="AE100" s="23">
        <f t="shared" ref="AE100:AE131" si="83">AD100/AC100</f>
        <v>-3.3475685436827801E-2</v>
      </c>
      <c r="AF100" s="36">
        <f>Data_Stock!D100</f>
        <v>1645.94</v>
      </c>
    </row>
    <row r="101" spans="1:32" x14ac:dyDescent="0.2">
      <c r="A101" s="35">
        <f>Data_Stock!A101</f>
        <v>46050</v>
      </c>
      <c r="B101" s="36">
        <f>Data_Stock!B101</f>
        <v>1826.74</v>
      </c>
      <c r="C101" s="37">
        <f>Data_Stock!C101</f>
        <v>0.40600000000000003</v>
      </c>
      <c r="D101" s="38">
        <f t="shared" si="63"/>
        <v>1.3863013698630138</v>
      </c>
      <c r="E101" s="28">
        <f>INDEX(Data_Svensson!$B$4:$B$202,MATCH($A101,Data_Svensson!$A$4:$A$202,1))</f>
        <v>1.2145809999999999</v>
      </c>
      <c r="F101" s="28">
        <f>INDEX(Data_Svensson!$C$4:$C$202,MATCH($A101,Data_Svensson!$A$4:$A$202,1))</f>
        <v>0.76437200000000005</v>
      </c>
      <c r="G101" s="28">
        <f>INDEX(Data_Svensson!$D$4:$D$202,MATCH($A101,Data_Svensson!$A$4:$A$202,1))</f>
        <v>-3.4500000000000003E-2</v>
      </c>
      <c r="H101" s="28">
        <f>INDEX(Data_Svensson!$E$4:$E$202,MATCH($A101,Data_Svensson!$A$4:$A$202,1))</f>
        <v>7.5334779999999997</v>
      </c>
      <c r="I101" s="28">
        <f>INDEX(Data_Svensson!$F$4:$F$202,MATCH($A101,Data_Svensson!$A$4:$A$202,1))</f>
        <v>1.3804209999999999</v>
      </c>
      <c r="J101" s="28">
        <f>INDEX(Data_Svensson!$G$4:$G$202,MATCH($A101,Data_Svensson!$A$4:$A$202,1))</f>
        <v>15.548828</v>
      </c>
      <c r="K101" s="28">
        <f t="shared" si="64"/>
        <v>0.6309963901686606</v>
      </c>
      <c r="L101" s="28">
        <f t="shared" si="65"/>
        <v>0.26468072275229332</v>
      </c>
      <c r="M101" s="28">
        <f t="shared" si="66"/>
        <v>4.2015777616995376E-2</v>
      </c>
      <c r="N101" s="29">
        <f t="shared" si="67"/>
        <v>2.0042904241415721E-2</v>
      </c>
      <c r="O101" s="29">
        <f t="shared" si="68"/>
        <v>1.4042904241415721E-2</v>
      </c>
      <c r="P101" s="28">
        <f t="shared" si="69"/>
        <v>0.47802967753345582</v>
      </c>
      <c r="Q101" s="28">
        <f t="shared" si="70"/>
        <v>-0.41480681258089425</v>
      </c>
      <c r="R101" s="28">
        <f t="shared" si="71"/>
        <v>9.0181975357638E-2</v>
      </c>
      <c r="S101" s="28">
        <f t="shared" si="72"/>
        <v>1.4381255166776572</v>
      </c>
      <c r="T101" s="28">
        <f t="shared" si="73"/>
        <v>-2.2265896366442162</v>
      </c>
      <c r="U101" s="28">
        <f t="shared" si="74"/>
        <v>-0.87864609532419657</v>
      </c>
      <c r="V101" s="28">
        <f t="shared" si="75"/>
        <v>425.48048997309911</v>
      </c>
      <c r="W101" s="28">
        <f t="shared" si="76"/>
        <v>191.54041395106918</v>
      </c>
      <c r="X101" s="28">
        <f t="shared" si="77"/>
        <v>-1.7770506276420424</v>
      </c>
      <c r="Y101" s="28">
        <f t="shared" si="78"/>
        <v>89.433175360514383</v>
      </c>
      <c r="Z101" s="28">
        <f t="shared" si="79"/>
        <v>142.7298500338735</v>
      </c>
      <c r="AA101" s="28">
        <f t="shared" si="80"/>
        <v>1519.7134320772054</v>
      </c>
      <c r="AB101" s="32">
        <f t="shared" si="81"/>
        <v>1662.443282111079</v>
      </c>
      <c r="AC101" s="22">
        <f>INDEX(Data_Cert!$E$4:$E$195,MATCH($A101,Data_Cert!$A$4:$A$195,0))</f>
        <v>1708.35</v>
      </c>
      <c r="AD101" s="22">
        <f t="shared" si="82"/>
        <v>-45.906717888920866</v>
      </c>
      <c r="AE101" s="23">
        <f t="shared" si="83"/>
        <v>-2.6871962940217677E-2</v>
      </c>
      <c r="AF101" s="36">
        <f>Data_Stock!D101</f>
        <v>1674.4</v>
      </c>
    </row>
    <row r="102" spans="1:32" x14ac:dyDescent="0.2">
      <c r="A102" s="35">
        <f>Data_Stock!A102</f>
        <v>46051</v>
      </c>
      <c r="B102" s="36">
        <f>Data_Stock!B102</f>
        <v>1777.73</v>
      </c>
      <c r="C102" s="37">
        <f>Data_Stock!C102</f>
        <v>0.40799999999999997</v>
      </c>
      <c r="D102" s="38">
        <f t="shared" si="63"/>
        <v>1.3835616438356164</v>
      </c>
      <c r="E102" s="28">
        <f>INDEX(Data_Svensson!$B$4:$B$202,MATCH($A102,Data_Svensson!$A$4:$A$202,1))</f>
        <v>1.1856960000000001</v>
      </c>
      <c r="F102" s="28">
        <f>INDEX(Data_Svensson!$C$4:$C$202,MATCH($A102,Data_Svensson!$A$4:$A$202,1))</f>
        <v>0.74960700000000002</v>
      </c>
      <c r="G102" s="28">
        <f>INDEX(Data_Svensson!$D$4:$D$202,MATCH($A102,Data_Svensson!$A$4:$A$202,1))</f>
        <v>-9.6652000000000002E-2</v>
      </c>
      <c r="H102" s="28">
        <f>INDEX(Data_Svensson!$E$4:$E$202,MATCH($A102,Data_Svensson!$A$4:$A$202,1))</f>
        <v>7.659662</v>
      </c>
      <c r="I102" s="28">
        <f>INDEX(Data_Svensson!$F$4:$F$202,MATCH($A102,Data_Svensson!$A$4:$A$202,1))</f>
        <v>1.665456</v>
      </c>
      <c r="J102" s="28">
        <f>INDEX(Data_Svensson!$G$4:$G$202,MATCH($A102,Data_Svensson!$A$4:$A$202,1))</f>
        <v>15.973542</v>
      </c>
      <c r="K102" s="28">
        <f t="shared" si="64"/>
        <v>0.67924159734624534</v>
      </c>
      <c r="L102" s="28">
        <f t="shared" si="65"/>
        <v>0.2435150581797354</v>
      </c>
      <c r="M102" s="28">
        <f t="shared" si="66"/>
        <v>4.0886533402927028E-2</v>
      </c>
      <c r="N102" s="29">
        <f t="shared" si="67"/>
        <v>1.9845010648768698E-2</v>
      </c>
      <c r="O102" s="29">
        <f t="shared" si="68"/>
        <v>1.3845010648768698E-2</v>
      </c>
      <c r="P102" s="28">
        <f t="shared" si="69"/>
        <v>0.47990958052476096</v>
      </c>
      <c r="Q102" s="28">
        <f t="shared" si="70"/>
        <v>-0.4168287999281004</v>
      </c>
      <c r="R102" s="28">
        <f t="shared" si="71"/>
        <v>3.4385888684053678E-2</v>
      </c>
      <c r="S102" s="28">
        <f t="shared" si="72"/>
        <v>1.3770492622427477</v>
      </c>
      <c r="T102" s="28">
        <f t="shared" si="73"/>
        <v>-2.1599737438001885</v>
      </c>
      <c r="U102" s="28">
        <f t="shared" si="74"/>
        <v>-0.81731037024149411</v>
      </c>
      <c r="V102" s="28">
        <f t="shared" si="75"/>
        <v>450.3208914127797</v>
      </c>
      <c r="W102" s="28">
        <f t="shared" si="76"/>
        <v>211.10025989832312</v>
      </c>
      <c r="X102" s="28">
        <f t="shared" si="77"/>
        <v>-2.1639061613066701</v>
      </c>
      <c r="Y102" s="28">
        <f t="shared" si="78"/>
        <v>96.242781696998065</v>
      </c>
      <c r="Z102" s="28">
        <f t="shared" si="79"/>
        <v>140.81394365615185</v>
      </c>
      <c r="AA102" s="28">
        <f t="shared" si="80"/>
        <v>1495.5125405312908</v>
      </c>
      <c r="AB102" s="32">
        <f t="shared" si="81"/>
        <v>1636.3264841874427</v>
      </c>
      <c r="AC102" s="22">
        <f>INDEX(Data_Cert!$E$4:$E$195,MATCH($A102,Data_Cert!$A$4:$A$195,0))</f>
        <v>1691.65</v>
      </c>
      <c r="AD102" s="22">
        <f t="shared" si="82"/>
        <v>-55.323515812557389</v>
      </c>
      <c r="AE102" s="23">
        <f t="shared" si="83"/>
        <v>-3.2703878351052158E-2</v>
      </c>
      <c r="AF102" s="36">
        <f>Data_Stock!D102</f>
        <v>1644.92</v>
      </c>
    </row>
    <row r="103" spans="1:32" x14ac:dyDescent="0.2">
      <c r="A103" s="35">
        <f>Data_Stock!A103</f>
        <v>46052</v>
      </c>
      <c r="B103" s="36">
        <f>Data_Stock!B103</f>
        <v>1763.87</v>
      </c>
      <c r="C103" s="37">
        <f>Data_Stock!C103</f>
        <v>0.39600000000000002</v>
      </c>
      <c r="D103" s="38">
        <f t="shared" si="63"/>
        <v>1.3808219178082193</v>
      </c>
      <c r="E103" s="28">
        <f>INDEX(Data_Svensson!$B$4:$B$202,MATCH($A103,Data_Svensson!$A$4:$A$202,1))</f>
        <v>1.209071</v>
      </c>
      <c r="F103" s="28">
        <f>INDEX(Data_Svensson!$C$4:$C$202,MATCH($A103,Data_Svensson!$A$4:$A$202,1))</f>
        <v>0.76821300000000003</v>
      </c>
      <c r="G103" s="28">
        <f>INDEX(Data_Svensson!$D$4:$D$202,MATCH($A103,Data_Svensson!$A$4:$A$202,1))</f>
        <v>-0.32819999999999999</v>
      </c>
      <c r="H103" s="28">
        <f>INDEX(Data_Svensson!$E$4:$E$202,MATCH($A103,Data_Svensson!$A$4:$A$202,1))</f>
        <v>7.6049499999999997</v>
      </c>
      <c r="I103" s="28">
        <f>INDEX(Data_Svensson!$F$4:$F$202,MATCH($A103,Data_Svensson!$A$4:$A$202,1))</f>
        <v>1.954923</v>
      </c>
      <c r="J103" s="28">
        <f>INDEX(Data_Svensson!$G$4:$G$202,MATCH($A103,Data_Svensson!$A$4:$A$202,1))</f>
        <v>15.628045</v>
      </c>
      <c r="K103" s="28">
        <f t="shared" si="64"/>
        <v>0.71715490087429945</v>
      </c>
      <c r="L103" s="28">
        <f t="shared" si="65"/>
        <v>0.22370334579556422</v>
      </c>
      <c r="M103" s="28">
        <f t="shared" si="66"/>
        <v>4.1659692963149642E-2</v>
      </c>
      <c r="N103" s="29">
        <f t="shared" si="67"/>
        <v>2.0033991617753492E-2</v>
      </c>
      <c r="O103" s="29">
        <f t="shared" si="68"/>
        <v>1.4033991617753492E-2</v>
      </c>
      <c r="P103" s="28">
        <f t="shared" si="69"/>
        <v>0.46533318156243031</v>
      </c>
      <c r="Q103" s="28">
        <f t="shared" si="70"/>
        <v>-0.4105066344138768</v>
      </c>
      <c r="R103" s="28">
        <f t="shared" si="71"/>
        <v>4.3173502236123484E-3</v>
      </c>
      <c r="S103" s="28">
        <f t="shared" si="72"/>
        <v>1.3890391837859255</v>
      </c>
      <c r="T103" s="28">
        <f t="shared" si="73"/>
        <v>-2.2251393707119678</v>
      </c>
      <c r="U103" s="28">
        <f t="shared" si="74"/>
        <v>-0.84041753714965473</v>
      </c>
      <c r="V103" s="28">
        <f t="shared" si="75"/>
        <v>446.59134684660501</v>
      </c>
      <c r="W103" s="28">
        <f t="shared" si="76"/>
        <v>201.77412234119413</v>
      </c>
      <c r="X103" s="28">
        <f t="shared" si="77"/>
        <v>-1.7459073401381051</v>
      </c>
      <c r="Y103" s="28">
        <f t="shared" si="78"/>
        <v>95.257382346842547</v>
      </c>
      <c r="Z103" s="28">
        <f t="shared" si="79"/>
        <v>147.81393481843023</v>
      </c>
      <c r="AA103" s="28">
        <f t="shared" si="80"/>
        <v>1498.840157954884</v>
      </c>
      <c r="AB103" s="32">
        <f t="shared" si="81"/>
        <v>1646.6540927733142</v>
      </c>
      <c r="AC103" s="22">
        <f>INDEX(Data_Cert!$E$4:$E$195,MATCH($A103,Data_Cert!$A$4:$A$195,0))</f>
        <v>1678.54</v>
      </c>
      <c r="AD103" s="22">
        <f t="shared" si="82"/>
        <v>-31.885907226685731</v>
      </c>
      <c r="AE103" s="23">
        <f t="shared" si="83"/>
        <v>-1.8996215298226871E-2</v>
      </c>
      <c r="AF103" s="36">
        <f>Data_Stock!D103</f>
        <v>1649.86</v>
      </c>
    </row>
    <row r="104" spans="1:32" x14ac:dyDescent="0.2">
      <c r="A104" s="35">
        <f>Data_Stock!A104</f>
        <v>46055</v>
      </c>
      <c r="B104" s="36">
        <f>Data_Stock!B104</f>
        <v>1711.89</v>
      </c>
      <c r="C104" s="37">
        <f>Data_Stock!C104</f>
        <v>0.40100000000000002</v>
      </c>
      <c r="D104" s="38">
        <f t="shared" si="63"/>
        <v>1.3726027397260274</v>
      </c>
      <c r="E104" s="28">
        <f>INDEX(Data_Svensson!$B$4:$B$202,MATCH($A104,Data_Svensson!$A$4:$A$202,1))</f>
        <v>1.2039979999999999</v>
      </c>
      <c r="F104" s="28">
        <f>INDEX(Data_Svensson!$C$4:$C$202,MATCH($A104,Data_Svensson!$A$4:$A$202,1))</f>
        <v>0.767428</v>
      </c>
      <c r="G104" s="28">
        <f>INDEX(Data_Svensson!$D$4:$D$202,MATCH($A104,Data_Svensson!$A$4:$A$202,1))</f>
        <v>-7.0660000000000002E-3</v>
      </c>
      <c r="H104" s="28">
        <f>INDEX(Data_Svensson!$E$4:$E$202,MATCH($A104,Data_Svensson!$A$4:$A$202,1))</f>
        <v>7.6460020000000002</v>
      </c>
      <c r="I104" s="28">
        <f>INDEX(Data_Svensson!$F$4:$F$202,MATCH($A104,Data_Svensson!$A$4:$A$202,1))</f>
        <v>1.4633830000000001</v>
      </c>
      <c r="J104" s="28">
        <f>INDEX(Data_Svensson!$G$4:$G$202,MATCH($A104,Data_Svensson!$A$4:$A$202,1))</f>
        <v>15.882149</v>
      </c>
      <c r="K104" s="28">
        <f t="shared" si="64"/>
        <v>0.64882623952396057</v>
      </c>
      <c r="L104" s="28">
        <f t="shared" si="65"/>
        <v>0.25740285547256997</v>
      </c>
      <c r="M104" s="28">
        <f t="shared" si="66"/>
        <v>4.08012687311885E-2</v>
      </c>
      <c r="N104" s="29">
        <f t="shared" si="67"/>
        <v>2.0120731970898295E-2</v>
      </c>
      <c r="O104" s="29">
        <f t="shared" si="68"/>
        <v>1.4120731970898295E-2</v>
      </c>
      <c r="P104" s="28">
        <f t="shared" si="69"/>
        <v>0.46980410082361451</v>
      </c>
      <c r="Q104" s="28">
        <f t="shared" si="70"/>
        <v>-0.4121850487814237</v>
      </c>
      <c r="R104" s="28">
        <f t="shared" si="71"/>
        <v>-5.4935781169923759E-2</v>
      </c>
      <c r="S104" s="28">
        <f t="shared" si="72"/>
        <v>1.3166082629558931</v>
      </c>
      <c r="T104" s="28">
        <f t="shared" si="73"/>
        <v>-2.1358365578658702</v>
      </c>
      <c r="U104" s="28">
        <f t="shared" si="74"/>
        <v>-0.76429251374005314</v>
      </c>
      <c r="V104" s="28">
        <f t="shared" si="75"/>
        <v>475.97727781467961</v>
      </c>
      <c r="W104" s="28">
        <f t="shared" si="76"/>
        <v>226.71486077103884</v>
      </c>
      <c r="X104" s="28">
        <f t="shared" si="77"/>
        <v>-2.2752831562183502</v>
      </c>
      <c r="Y104" s="28">
        <f t="shared" si="78"/>
        <v>103.58365954644094</v>
      </c>
      <c r="Z104" s="28">
        <f t="shared" si="79"/>
        <v>143.40347434098149</v>
      </c>
      <c r="AA104" s="28">
        <f t="shared" si="80"/>
        <v>1469.5429463250437</v>
      </c>
      <c r="AB104" s="32">
        <f t="shared" si="81"/>
        <v>1612.9464206660252</v>
      </c>
      <c r="AC104" s="22">
        <f>INDEX(Data_Cert!$E$4:$E$195,MATCH($A104,Data_Cert!$A$4:$A$195,0))</f>
        <v>1658.37</v>
      </c>
      <c r="AD104" s="22">
        <f t="shared" si="82"/>
        <v>-45.423579333974658</v>
      </c>
      <c r="AE104" s="23">
        <f t="shared" si="83"/>
        <v>-2.7390497496924487E-2</v>
      </c>
      <c r="AF104" s="36">
        <f>Data_Stock!D104</f>
        <v>1618.57</v>
      </c>
    </row>
    <row r="105" spans="1:32" x14ac:dyDescent="0.2">
      <c r="A105" s="35">
        <f>Data_Stock!A105</f>
        <v>46056</v>
      </c>
      <c r="B105" s="36">
        <f>Data_Stock!B105</f>
        <v>1743.08</v>
      </c>
      <c r="C105" s="37">
        <f>Data_Stock!C105</f>
        <v>0.39600000000000002</v>
      </c>
      <c r="D105" s="38">
        <f t="shared" si="63"/>
        <v>1.3698630136986301</v>
      </c>
      <c r="E105" s="28">
        <f>INDEX(Data_Svensson!$B$4:$B$202,MATCH($A105,Data_Svensson!$A$4:$A$202,1))</f>
        <v>1.236882</v>
      </c>
      <c r="F105" s="28">
        <f>INDEX(Data_Svensson!$C$4:$C$202,MATCH($A105,Data_Svensson!$A$4:$A$202,1))</f>
        <v>0.74191700000000005</v>
      </c>
      <c r="G105" s="28">
        <f>INDEX(Data_Svensson!$D$4:$D$202,MATCH($A105,Data_Svensson!$A$4:$A$202,1))</f>
        <v>-1.2279E-2</v>
      </c>
      <c r="H105" s="28">
        <f>INDEX(Data_Svensson!$E$4:$E$202,MATCH($A105,Data_Svensson!$A$4:$A$202,1))</f>
        <v>7.6624689999999998</v>
      </c>
      <c r="I105" s="28">
        <f>INDEX(Data_Svensson!$F$4:$F$202,MATCH($A105,Data_Svensson!$A$4:$A$202,1))</f>
        <v>1.4606429999999999</v>
      </c>
      <c r="J105" s="28">
        <f>INDEX(Data_Svensson!$G$4:$G$202,MATCH($A105,Data_Svensson!$A$4:$A$202,1))</f>
        <v>15.876507</v>
      </c>
      <c r="K105" s="28">
        <f t="shared" si="64"/>
        <v>0.64885812414458277</v>
      </c>
      <c r="L105" s="28">
        <f t="shared" si="65"/>
        <v>0.25738926105040993</v>
      </c>
      <c r="M105" s="28">
        <f t="shared" si="66"/>
        <v>4.0738124062996373E-2</v>
      </c>
      <c r="N105" s="29">
        <f t="shared" si="67"/>
        <v>2.0272750029054022E-2</v>
      </c>
      <c r="O105" s="29">
        <f t="shared" si="68"/>
        <v>1.4272750029054022E-2</v>
      </c>
      <c r="P105" s="28">
        <f t="shared" si="69"/>
        <v>0.46348294289667707</v>
      </c>
      <c r="Q105" s="28">
        <f t="shared" si="70"/>
        <v>-0.40898409582533657</v>
      </c>
      <c r="R105" s="28">
        <f t="shared" si="71"/>
        <v>-2.2727019004478155E-2</v>
      </c>
      <c r="S105" s="28">
        <f t="shared" si="72"/>
        <v>1.3675226682081925</v>
      </c>
      <c r="T105" s="28">
        <f t="shared" si="73"/>
        <v>-2.2099207742896354</v>
      </c>
      <c r="U105" s="28">
        <f t="shared" si="74"/>
        <v>-0.81967108707696512</v>
      </c>
      <c r="V105" s="28">
        <f t="shared" si="75"/>
        <v>455.49245391941531</v>
      </c>
      <c r="W105" s="28">
        <f t="shared" si="76"/>
        <v>207.73834645290228</v>
      </c>
      <c r="X105" s="28">
        <f t="shared" si="77"/>
        <v>-1.8174980430804446</v>
      </c>
      <c r="Y105" s="28">
        <f t="shared" si="78"/>
        <v>97.819997823312463</v>
      </c>
      <c r="Z105" s="28">
        <f t="shared" si="79"/>
        <v>148.11661160012014</v>
      </c>
      <c r="AA105" s="28">
        <f t="shared" si="80"/>
        <v>1489.7298976496049</v>
      </c>
      <c r="AB105" s="32">
        <f t="shared" si="81"/>
        <v>1637.8465092497252</v>
      </c>
      <c r="AC105" s="22">
        <f>INDEX(Data_Cert!$E$4:$E$195,MATCH($A105,Data_Cert!$A$4:$A$195,0))</f>
        <v>1670.9</v>
      </c>
      <c r="AD105" s="22">
        <f t="shared" si="82"/>
        <v>-33.053490750274932</v>
      </c>
      <c r="AE105" s="23">
        <f t="shared" si="83"/>
        <v>-1.9781848554835675E-2</v>
      </c>
      <c r="AF105" s="36">
        <f>Data_Stock!D105</f>
        <v>1647.65</v>
      </c>
    </row>
    <row r="106" spans="1:32" x14ac:dyDescent="0.2">
      <c r="A106" s="35">
        <f>Data_Stock!A106</f>
        <v>46057</v>
      </c>
      <c r="B106" s="36">
        <f>Data_Stock!B106</f>
        <v>1662.88</v>
      </c>
      <c r="C106" s="37">
        <f>Data_Stock!C106</f>
        <v>0.42499999999999999</v>
      </c>
      <c r="D106" s="38">
        <f t="shared" si="63"/>
        <v>1.3671232876712329</v>
      </c>
      <c r="E106" s="28">
        <f>INDEX(Data_Svensson!$B$4:$B$202,MATCH($A106,Data_Svensson!$A$4:$A$202,1))</f>
        <v>1.214235</v>
      </c>
      <c r="F106" s="28">
        <f>INDEX(Data_Svensson!$C$4:$C$202,MATCH($A106,Data_Svensson!$A$4:$A$202,1))</f>
        <v>0.74785299999999999</v>
      </c>
      <c r="G106" s="28">
        <f>INDEX(Data_Svensson!$D$4:$D$202,MATCH($A106,Data_Svensson!$A$4:$A$202,1))</f>
        <v>-0.317637</v>
      </c>
      <c r="H106" s="28">
        <f>INDEX(Data_Svensson!$E$4:$E$202,MATCH($A106,Data_Svensson!$A$4:$A$202,1))</f>
        <v>7.7455590000000001</v>
      </c>
      <c r="I106" s="28">
        <f>INDEX(Data_Svensson!$F$4:$F$202,MATCH($A106,Data_Svensson!$A$4:$A$202,1))</f>
        <v>2.0874440000000001</v>
      </c>
      <c r="J106" s="28">
        <f>INDEX(Data_Svensson!$G$4:$G$202,MATCH($A106,Data_Svensson!$A$4:$A$202,1))</f>
        <v>15.843154</v>
      </c>
      <c r="K106" s="28">
        <f t="shared" si="64"/>
        <v>0.73370014068836364</v>
      </c>
      <c r="L106" s="28">
        <f t="shared" si="65"/>
        <v>0.21422012038732652</v>
      </c>
      <c r="M106" s="28">
        <f t="shared" si="66"/>
        <v>4.0742003208159017E-2</v>
      </c>
      <c r="N106" s="29">
        <f t="shared" si="67"/>
        <v>2.0104602045617304E-2</v>
      </c>
      <c r="O106" s="29">
        <f t="shared" si="68"/>
        <v>1.4104602045617304E-2</v>
      </c>
      <c r="P106" s="28">
        <f t="shared" si="69"/>
        <v>0.49692720174650978</v>
      </c>
      <c r="Q106" s="28">
        <f t="shared" si="70"/>
        <v>-0.42191223780973114</v>
      </c>
      <c r="R106" s="28">
        <f t="shared" si="71"/>
        <v>-8.4207686190641673E-2</v>
      </c>
      <c r="S106" s="28">
        <f t="shared" si="72"/>
        <v>1.2124752366315423</v>
      </c>
      <c r="T106" s="28">
        <f t="shared" si="73"/>
        <v>-1.9346230913955018</v>
      </c>
      <c r="U106" s="28">
        <f t="shared" si="74"/>
        <v>-0.63794016857331814</v>
      </c>
      <c r="V106" s="28">
        <f t="shared" si="75"/>
        <v>519.8526718958376</v>
      </c>
      <c r="W106" s="28">
        <f t="shared" si="76"/>
        <v>275.59412125708036</v>
      </c>
      <c r="X106" s="28">
        <f t="shared" si="77"/>
        <v>-4.143909451403573</v>
      </c>
      <c r="Y106" s="28">
        <f t="shared" si="78"/>
        <v>114.0119177236046</v>
      </c>
      <c r="Z106" s="28">
        <f t="shared" si="79"/>
        <v>126.10272346374907</v>
      </c>
      <c r="AA106" s="28">
        <f t="shared" si="80"/>
        <v>1425.9249658436897</v>
      </c>
      <c r="AB106" s="32">
        <f t="shared" si="81"/>
        <v>1552.0276893074388</v>
      </c>
      <c r="AC106" s="22">
        <f>INDEX(Data_Cert!$E$4:$E$195,MATCH($A106,Data_Cert!$A$4:$A$195,0))</f>
        <v>1622.17</v>
      </c>
      <c r="AD106" s="22">
        <f t="shared" si="82"/>
        <v>-70.142310692561296</v>
      </c>
      <c r="AE106" s="23">
        <f t="shared" si="83"/>
        <v>-4.3239802667144188E-2</v>
      </c>
      <c r="AF106" s="36">
        <f>Data_Stock!D106</f>
        <v>1570.23</v>
      </c>
    </row>
    <row r="107" spans="1:32" x14ac:dyDescent="0.2">
      <c r="A107" s="35">
        <f>Data_Stock!A107</f>
        <v>46058</v>
      </c>
      <c r="B107" s="36">
        <f>Data_Stock!B107</f>
        <v>1555.45</v>
      </c>
      <c r="C107" s="37">
        <f>Data_Stock!C107</f>
        <v>0.48699999999999999</v>
      </c>
      <c r="D107" s="38">
        <f t="shared" si="63"/>
        <v>1.3643835616438356</v>
      </c>
      <c r="E107" s="28">
        <f>INDEX(Data_Svensson!$B$4:$B$202,MATCH($A107,Data_Svensson!$A$4:$A$202,1))</f>
        <v>1.2149049999999999</v>
      </c>
      <c r="F107" s="28">
        <f>INDEX(Data_Svensson!$C$4:$C$202,MATCH($A107,Data_Svensson!$A$4:$A$202,1))</f>
        <v>0.740398</v>
      </c>
      <c r="G107" s="28">
        <f>INDEX(Data_Svensson!$D$4:$D$202,MATCH($A107,Data_Svensson!$A$4:$A$202,1))</f>
        <v>0.19436300000000001</v>
      </c>
      <c r="H107" s="28">
        <f>INDEX(Data_Svensson!$E$4:$E$202,MATCH($A107,Data_Svensson!$A$4:$A$202,1))</f>
        <v>7.6966049999999999</v>
      </c>
      <c r="I107" s="28">
        <f>INDEX(Data_Svensson!$F$4:$F$202,MATCH($A107,Data_Svensson!$A$4:$A$202,1))</f>
        <v>1.1083130000000001</v>
      </c>
      <c r="J107" s="28">
        <f>INDEX(Data_Svensson!$G$4:$G$202,MATCH($A107,Data_Svensson!$A$4:$A$202,1))</f>
        <v>15.988246999999999</v>
      </c>
      <c r="K107" s="28">
        <f t="shared" si="64"/>
        <v>0.57513138047639389</v>
      </c>
      <c r="L107" s="28">
        <f t="shared" si="65"/>
        <v>0.28314419031216975</v>
      </c>
      <c r="M107" s="28">
        <f t="shared" si="66"/>
        <v>4.0316825069109385E-2</v>
      </c>
      <c r="N107" s="29">
        <f t="shared" si="67"/>
        <v>2.0060665555146379E-2</v>
      </c>
      <c r="O107" s="29">
        <f t="shared" si="68"/>
        <v>1.4060665555146378E-2</v>
      </c>
      <c r="P107" s="28">
        <f t="shared" si="69"/>
        <v>0.56884926380501433</v>
      </c>
      <c r="Q107" s="28">
        <f t="shared" si="70"/>
        <v>-0.44071457249831819</v>
      </c>
      <c r="R107" s="28">
        <f t="shared" si="71"/>
        <v>-0.1237646047746821</v>
      </c>
      <c r="S107" s="28">
        <f t="shared" si="72"/>
        <v>1.0089731122093042</v>
      </c>
      <c r="T107" s="28">
        <f t="shared" si="73"/>
        <v>-1.5054126218108812</v>
      </c>
      <c r="U107" s="28">
        <f t="shared" si="74"/>
        <v>-0.37267490482689525</v>
      </c>
      <c r="V107" s="28">
        <f t="shared" si="75"/>
        <v>623.27573408822832</v>
      </c>
      <c r="W107" s="28">
        <f t="shared" si="76"/>
        <v>400.59834892545001</v>
      </c>
      <c r="X107" s="28">
        <f t="shared" si="77"/>
        <v>-13.359427569758701</v>
      </c>
      <c r="Y107" s="28">
        <f t="shared" si="78"/>
        <v>124.0380613989982</v>
      </c>
      <c r="Z107" s="28">
        <f t="shared" si="79"/>
        <v>85.279896194021404</v>
      </c>
      <c r="AA107" s="28">
        <f t="shared" si="80"/>
        <v>1322.7257341246757</v>
      </c>
      <c r="AB107" s="32">
        <f t="shared" si="81"/>
        <v>1408.0056303186971</v>
      </c>
      <c r="AC107" s="22">
        <f>INDEX(Data_Cert!$E$4:$E$195,MATCH($A107,Data_Cert!$A$4:$A$195,0))</f>
        <v>1572.77</v>
      </c>
      <c r="AD107" s="22">
        <f t="shared" si="82"/>
        <v>-164.76436968130292</v>
      </c>
      <c r="AE107" s="23">
        <f t="shared" si="83"/>
        <v>-0.10476062595376497</v>
      </c>
      <c r="AF107" s="36">
        <f>Data_Stock!D107</f>
        <v>1411.36</v>
      </c>
    </row>
    <row r="108" spans="1:32" x14ac:dyDescent="0.2">
      <c r="A108" s="35">
        <f>Data_Stock!A108</f>
        <v>46059</v>
      </c>
      <c r="B108" s="36">
        <f>Data_Stock!B108</f>
        <v>1588.62</v>
      </c>
      <c r="C108" s="37">
        <f>Data_Stock!C108</f>
        <v>0.47899999999999998</v>
      </c>
      <c r="D108" s="38">
        <f t="shared" si="63"/>
        <v>1.3616438356164384</v>
      </c>
      <c r="E108" s="28">
        <f>INDEX(Data_Svensson!$B$4:$B$202,MATCH($A108,Data_Svensson!$A$4:$A$202,1))</f>
        <v>1.220836</v>
      </c>
      <c r="F108" s="28">
        <f>INDEX(Data_Svensson!$C$4:$C$202,MATCH($A108,Data_Svensson!$A$4:$A$202,1))</f>
        <v>0.76392499999999997</v>
      </c>
      <c r="G108" s="28">
        <f>INDEX(Data_Svensson!$D$4:$D$202,MATCH($A108,Data_Svensson!$A$4:$A$202,1))</f>
        <v>-0.168767</v>
      </c>
      <c r="H108" s="28">
        <f>INDEX(Data_Svensson!$E$4:$E$202,MATCH($A108,Data_Svensson!$A$4:$A$202,1))</f>
        <v>7.6386940000000001</v>
      </c>
      <c r="I108" s="28">
        <f>INDEX(Data_Svensson!$F$4:$F$202,MATCH($A108,Data_Svensson!$A$4:$A$202,1))</f>
        <v>1.571804</v>
      </c>
      <c r="J108" s="28">
        <f>INDEX(Data_Svensson!$G$4:$G$202,MATCH($A108,Data_Svensson!$A$4:$A$202,1))</f>
        <v>16.044018999999999</v>
      </c>
      <c r="K108" s="28">
        <f t="shared" si="64"/>
        <v>0.66893343469273336</v>
      </c>
      <c r="L108" s="28">
        <f t="shared" si="65"/>
        <v>0.24842622627940181</v>
      </c>
      <c r="M108" s="28">
        <f t="shared" si="66"/>
        <v>4.0108407187176898E-2</v>
      </c>
      <c r="N108" s="29">
        <f t="shared" si="67"/>
        <v>1.9963006744973956E-2</v>
      </c>
      <c r="O108" s="29">
        <f t="shared" si="68"/>
        <v>1.3963006744973956E-2</v>
      </c>
      <c r="P108" s="28">
        <f t="shared" si="69"/>
        <v>0.5589426833653619</v>
      </c>
      <c r="Q108" s="28">
        <f t="shared" si="70"/>
        <v>-0.43914336694412087</v>
      </c>
      <c r="R108" s="28">
        <f t="shared" si="71"/>
        <v>-9.8508064698800357E-2</v>
      </c>
      <c r="S108" s="28">
        <f t="shared" si="72"/>
        <v>1.0543060530402075</v>
      </c>
      <c r="T108" s="28">
        <f t="shared" si="73"/>
        <v>-1.5801467478521853</v>
      </c>
      <c r="U108" s="28">
        <f t="shared" si="74"/>
        <v>-0.42733263011317696</v>
      </c>
      <c r="V108" s="28">
        <f t="shared" si="75"/>
        <v>599.50607135032055</v>
      </c>
      <c r="W108" s="28">
        <f t="shared" si="76"/>
        <v>373.85955837009146</v>
      </c>
      <c r="X108" s="28">
        <f t="shared" si="77"/>
        <v>-11.080824818484736</v>
      </c>
      <c r="Y108" s="28">
        <f t="shared" si="78"/>
        <v>122.29436384154968</v>
      </c>
      <c r="Z108" s="28">
        <f t="shared" si="79"/>
        <v>92.27132432019468</v>
      </c>
      <c r="AA108" s="28">
        <f t="shared" si="80"/>
        <v>1346.8611573850794</v>
      </c>
      <c r="AB108" s="32">
        <f t="shared" si="81"/>
        <v>1439.1324817052741</v>
      </c>
      <c r="AC108" s="22">
        <f>INDEX(Data_Cert!$E$4:$E$195,MATCH($A108,Data_Cert!$A$4:$A$195,0))</f>
        <v>1587.43</v>
      </c>
      <c r="AD108" s="22">
        <f t="shared" si="82"/>
        <v>-148.29751829472593</v>
      </c>
      <c r="AE108" s="23">
        <f t="shared" si="83"/>
        <v>-9.3419878857477767E-2</v>
      </c>
      <c r="AF108" s="36">
        <f>Data_Stock!D108</f>
        <v>1449.6</v>
      </c>
    </row>
    <row r="109" spans="1:32" x14ac:dyDescent="0.2">
      <c r="A109" s="35">
        <f>Data_Stock!A109</f>
        <v>46062</v>
      </c>
      <c r="B109" s="36">
        <f>Data_Stock!B109</f>
        <v>1632.68</v>
      </c>
      <c r="C109" s="37">
        <f>Data_Stock!C109</f>
        <v>0.47699999999999998</v>
      </c>
      <c r="D109" s="38">
        <f t="shared" si="63"/>
        <v>1.3534246575342466</v>
      </c>
      <c r="E109" s="28">
        <f>INDEX(Data_Svensson!$B$4:$B$202,MATCH($A109,Data_Svensson!$A$4:$A$202,1))</f>
        <v>1.209667</v>
      </c>
      <c r="F109" s="28">
        <f>INDEX(Data_Svensson!$C$4:$C$202,MATCH($A109,Data_Svensson!$A$4:$A$202,1))</f>
        <v>0.78027000000000002</v>
      </c>
      <c r="G109" s="28">
        <f>INDEX(Data_Svensson!$D$4:$D$202,MATCH($A109,Data_Svensson!$A$4:$A$202,1))</f>
        <v>0.109056</v>
      </c>
      <c r="H109" s="28">
        <f>INDEX(Data_Svensson!$E$4:$E$202,MATCH($A109,Data_Svensson!$A$4:$A$202,1))</f>
        <v>7.765377</v>
      </c>
      <c r="I109" s="28">
        <f>INDEX(Data_Svensson!$F$4:$F$202,MATCH($A109,Data_Svensson!$A$4:$A$202,1))</f>
        <v>1.0591539999999999</v>
      </c>
      <c r="J109" s="28">
        <f>INDEX(Data_Svensson!$G$4:$G$202,MATCH($A109,Data_Svensson!$A$4:$A$202,1))</f>
        <v>16.277177999999999</v>
      </c>
      <c r="K109" s="28">
        <f t="shared" si="64"/>
        <v>0.5645172758282837</v>
      </c>
      <c r="L109" s="28">
        <f t="shared" si="65"/>
        <v>0.28587753194784776</v>
      </c>
      <c r="M109" s="28">
        <f t="shared" si="66"/>
        <v>3.9340031239083917E-2</v>
      </c>
      <c r="N109" s="29">
        <f t="shared" si="67"/>
        <v>1.9868097286979036E-2</v>
      </c>
      <c r="O109" s="29">
        <f t="shared" si="68"/>
        <v>1.3868097286979035E-2</v>
      </c>
      <c r="P109" s="28">
        <f t="shared" si="69"/>
        <v>0.55492644458892892</v>
      </c>
      <c r="Q109" s="28">
        <f t="shared" si="70"/>
        <v>-0.43904910017193838</v>
      </c>
      <c r="R109" s="28">
        <f t="shared" si="71"/>
        <v>-5.4391424582110992E-2</v>
      </c>
      <c r="S109" s="28">
        <f t="shared" si="72"/>
        <v>1.1067660993989845</v>
      </c>
      <c r="T109" s="28">
        <f t="shared" si="73"/>
        <v>-1.6453506465189867</v>
      </c>
      <c r="U109" s="28">
        <f t="shared" si="74"/>
        <v>-0.4841931225378911</v>
      </c>
      <c r="V109" s="28">
        <f t="shared" si="75"/>
        <v>574.14994836532424</v>
      </c>
      <c r="W109" s="28">
        <f t="shared" si="76"/>
        <v>348.31216914643187</v>
      </c>
      <c r="X109" s="28">
        <f t="shared" si="77"/>
        <v>-9.4392309373189605</v>
      </c>
      <c r="Y109" s="28">
        <f t="shared" si="78"/>
        <v>118.49591420594498</v>
      </c>
      <c r="Z109" s="28">
        <f t="shared" si="79"/>
        <v>97.902634075628413</v>
      </c>
      <c r="AA109" s="28">
        <f t="shared" si="80"/>
        <v>1372.7867389565131</v>
      </c>
      <c r="AB109" s="32">
        <f t="shared" si="81"/>
        <v>1470.6893730321415</v>
      </c>
      <c r="AC109" s="22">
        <f>INDEX(Data_Cert!$E$4:$E$195,MATCH($A109,Data_Cert!$A$4:$A$195,0))</f>
        <v>1618.44</v>
      </c>
      <c r="AD109" s="22">
        <f t="shared" si="82"/>
        <v>-147.75062696785858</v>
      </c>
      <c r="AE109" s="23">
        <f t="shared" si="83"/>
        <v>-9.1292001537195439E-2</v>
      </c>
      <c r="AF109" s="36">
        <f>Data_Stock!D109</f>
        <v>1485.01</v>
      </c>
    </row>
    <row r="110" spans="1:32" x14ac:dyDescent="0.2">
      <c r="A110" s="35">
        <f>Data_Stock!A110</f>
        <v>46063</v>
      </c>
      <c r="B110" s="36">
        <f>Data_Stock!B110</f>
        <v>1612.88</v>
      </c>
      <c r="C110" s="37">
        <f>Data_Stock!C110</f>
        <v>0.46500000000000002</v>
      </c>
      <c r="D110" s="38">
        <f t="shared" si="63"/>
        <v>1.3506849315068492</v>
      </c>
      <c r="E110" s="28">
        <f>INDEX(Data_Svensson!$B$4:$B$202,MATCH($A110,Data_Svensson!$A$4:$A$202,1))</f>
        <v>1.206383</v>
      </c>
      <c r="F110" s="28">
        <f>INDEX(Data_Svensson!$C$4:$C$202,MATCH($A110,Data_Svensson!$A$4:$A$202,1))</f>
        <v>0.75855399999999995</v>
      </c>
      <c r="G110" s="28">
        <f>INDEX(Data_Svensson!$D$4:$D$202,MATCH($A110,Data_Svensson!$A$4:$A$202,1))</f>
        <v>-0.78993000000000002</v>
      </c>
      <c r="H110" s="28">
        <f>INDEX(Data_Svensson!$E$4:$E$202,MATCH($A110,Data_Svensson!$A$4:$A$202,1))</f>
        <v>7.683001</v>
      </c>
      <c r="I110" s="28">
        <f>INDEX(Data_Svensson!$F$4:$F$202,MATCH($A110,Data_Svensson!$A$4:$A$202,1))</f>
        <v>2.763782</v>
      </c>
      <c r="J110" s="28">
        <f>INDEX(Data_Svensson!$G$4:$G$202,MATCH($A110,Data_Svensson!$A$4:$A$202,1))</f>
        <v>15.233074999999999</v>
      </c>
      <c r="K110" s="28">
        <f t="shared" si="64"/>
        <v>0.79102739591114635</v>
      </c>
      <c r="L110" s="28">
        <f t="shared" si="65"/>
        <v>0.17760954459953349</v>
      </c>
      <c r="M110" s="28">
        <f t="shared" si="66"/>
        <v>4.1798404647351295E-2</v>
      </c>
      <c r="N110" s="29">
        <f t="shared" si="67"/>
        <v>1.9872580724164788E-2</v>
      </c>
      <c r="O110" s="29">
        <f t="shared" si="68"/>
        <v>1.3872580724164788E-2</v>
      </c>
      <c r="P110" s="28">
        <f t="shared" si="69"/>
        <v>0.5404182170458991</v>
      </c>
      <c r="Q110" s="28">
        <f t="shared" si="70"/>
        <v>-0.43584192057271459</v>
      </c>
      <c r="R110" s="28">
        <f t="shared" si="71"/>
        <v>-9.3191472325169666E-2</v>
      </c>
      <c r="S110" s="28">
        <f t="shared" si="72"/>
        <v>1.099138830514689</v>
      </c>
      <c r="T110" s="28">
        <f t="shared" si="73"/>
        <v>-1.6817065265222824</v>
      </c>
      <c r="U110" s="28">
        <f t="shared" si="74"/>
        <v>-0.48937622368242428</v>
      </c>
      <c r="V110" s="28">
        <f t="shared" si="75"/>
        <v>575.31042316678645</v>
      </c>
      <c r="W110" s="28">
        <f t="shared" si="76"/>
        <v>343.74072242100146</v>
      </c>
      <c r="X110" s="28">
        <f t="shared" si="77"/>
        <v>-8.4654062335932565</v>
      </c>
      <c r="Y110" s="28">
        <f t="shared" si="78"/>
        <v>121.14846801010958</v>
      </c>
      <c r="Z110" s="28">
        <f t="shared" si="79"/>
        <v>101.95582650208215</v>
      </c>
      <c r="AA110" s="28">
        <f t="shared" si="80"/>
        <v>1371.7204542309655</v>
      </c>
      <c r="AB110" s="32">
        <f t="shared" si="81"/>
        <v>1473.6762807330476</v>
      </c>
      <c r="AC110" s="22">
        <f>INDEX(Data_Cert!$E$4:$E$195,MATCH($A110,Data_Cert!$A$4:$A$195,0))</f>
        <v>1604.69</v>
      </c>
      <c r="AD110" s="22">
        <f t="shared" si="82"/>
        <v>-131.01371926695242</v>
      </c>
      <c r="AE110" s="23">
        <f t="shared" si="83"/>
        <v>-8.1644254819904422E-2</v>
      </c>
      <c r="AF110" s="36">
        <f>Data_Stock!D110</f>
        <v>1488.72</v>
      </c>
    </row>
    <row r="111" spans="1:32" x14ac:dyDescent="0.2">
      <c r="A111" s="35">
        <f>Data_Stock!A111</f>
        <v>46064</v>
      </c>
      <c r="B111" s="36">
        <f>Data_Stock!B111</f>
        <v>1576.24</v>
      </c>
      <c r="C111" s="37">
        <f>Data_Stock!C111</f>
        <v>0.45900000000000002</v>
      </c>
      <c r="D111" s="38">
        <f t="shared" si="63"/>
        <v>1.3479452054794521</v>
      </c>
      <c r="E111" s="28">
        <f>INDEX(Data_Svensson!$B$4:$B$202,MATCH($A111,Data_Svensson!$A$4:$A$202,1))</f>
        <v>1.227897</v>
      </c>
      <c r="F111" s="28">
        <f>INDEX(Data_Svensson!$C$4:$C$202,MATCH($A111,Data_Svensson!$A$4:$A$202,1))</f>
        <v>0.75792199999999998</v>
      </c>
      <c r="G111" s="28">
        <f>INDEX(Data_Svensson!$D$4:$D$202,MATCH($A111,Data_Svensson!$A$4:$A$202,1))</f>
        <v>-0.55855399999999999</v>
      </c>
      <c r="H111" s="28">
        <f>INDEX(Data_Svensson!$E$4:$E$202,MATCH($A111,Data_Svensson!$A$4:$A$202,1))</f>
        <v>7.5429959999999996</v>
      </c>
      <c r="I111" s="28">
        <f>INDEX(Data_Svensson!$F$4:$F$202,MATCH($A111,Data_Svensson!$A$4:$A$202,1))</f>
        <v>2.2949009999999999</v>
      </c>
      <c r="J111" s="28">
        <f>INDEX(Data_Svensson!$G$4:$G$202,MATCH($A111,Data_Svensson!$A$4:$A$202,1))</f>
        <v>15.729194</v>
      </c>
      <c r="K111" s="28">
        <f t="shared" si="64"/>
        <v>0.75627604197914855</v>
      </c>
      <c r="L111" s="28">
        <f t="shared" si="65"/>
        <v>0.2004863433406322</v>
      </c>
      <c r="M111" s="28">
        <f t="shared" si="66"/>
        <v>4.0477424718065591E-2</v>
      </c>
      <c r="N111" s="29">
        <f t="shared" si="67"/>
        <v>1.9944338540093066E-2</v>
      </c>
      <c r="O111" s="29">
        <f t="shared" si="68"/>
        <v>1.3944338540093066E-2</v>
      </c>
      <c r="P111" s="28">
        <f t="shared" si="69"/>
        <v>0.53290378478259703</v>
      </c>
      <c r="Q111" s="28">
        <f t="shared" si="70"/>
        <v>-0.43381302281604384</v>
      </c>
      <c r="R111" s="28">
        <f t="shared" si="71"/>
        <v>-0.14508339491227762</v>
      </c>
      <c r="S111" s="28">
        <f t="shared" si="72"/>
        <v>1.0640598590681469</v>
      </c>
      <c r="T111" s="28">
        <f t="shared" si="73"/>
        <v>-1.6697567469766754</v>
      </c>
      <c r="U111" s="28">
        <f t="shared" si="74"/>
        <v>-0.46061349299625065</v>
      </c>
      <c r="V111" s="28">
        <f t="shared" si="75"/>
        <v>590.41980767612461</v>
      </c>
      <c r="W111" s="28">
        <f t="shared" si="76"/>
        <v>354.9153523413222</v>
      </c>
      <c r="X111" s="28">
        <f t="shared" si="77"/>
        <v>-8.6192517406284281</v>
      </c>
      <c r="Y111" s="28">
        <f t="shared" si="78"/>
        <v>125.43748951465039</v>
      </c>
      <c r="Z111" s="28">
        <f t="shared" si="79"/>
        <v>101.44771407952356</v>
      </c>
      <c r="AA111" s="28">
        <f t="shared" si="80"/>
        <v>1356.5287506511777</v>
      </c>
      <c r="AB111" s="32">
        <f t="shared" si="81"/>
        <v>1457.9764647307013</v>
      </c>
      <c r="AC111" s="22">
        <f>INDEX(Data_Cert!$E$4:$E$195,MATCH($A111,Data_Cert!$A$4:$A$195,0))</f>
        <v>1584.64</v>
      </c>
      <c r="AD111" s="22">
        <f t="shared" si="82"/>
        <v>-126.66353526929879</v>
      </c>
      <c r="AE111" s="23">
        <f t="shared" si="83"/>
        <v>-7.9932057293327682E-2</v>
      </c>
      <c r="AF111" s="36">
        <f>Data_Stock!D111</f>
        <v>1462.36</v>
      </c>
    </row>
    <row r="112" spans="1:32" x14ac:dyDescent="0.2">
      <c r="A112" s="35">
        <f>Data_Stock!A112</f>
        <v>46065</v>
      </c>
      <c r="B112" s="36">
        <f>Data_Stock!B112</f>
        <v>1563.87</v>
      </c>
      <c r="C112" s="37">
        <f>Data_Stock!C112</f>
        <v>0.44600000000000001</v>
      </c>
      <c r="D112" s="38">
        <f t="shared" si="63"/>
        <v>1.3452054794520547</v>
      </c>
      <c r="E112" s="28">
        <f>INDEX(Data_Svensson!$B$4:$B$202,MATCH($A112,Data_Svensson!$A$4:$A$202,1))</f>
        <v>1.234089</v>
      </c>
      <c r="F112" s="28">
        <f>INDEX(Data_Svensson!$C$4:$C$202,MATCH($A112,Data_Svensson!$A$4:$A$202,1))</f>
        <v>0.76611600000000002</v>
      </c>
      <c r="G112" s="28">
        <f>INDEX(Data_Svensson!$D$4:$D$202,MATCH($A112,Data_Svensson!$A$4:$A$202,1))</f>
        <v>-0.36855900000000003</v>
      </c>
      <c r="H112" s="28">
        <f>INDEX(Data_Svensson!$E$4:$E$202,MATCH($A112,Data_Svensson!$A$4:$A$202,1))</f>
        <v>7.4155030000000002</v>
      </c>
      <c r="I112" s="28">
        <f>INDEX(Data_Svensson!$F$4:$F$202,MATCH($A112,Data_Svensson!$A$4:$A$202,1))</f>
        <v>1.8733519999999999</v>
      </c>
      <c r="J112" s="28">
        <f>INDEX(Data_Svensson!$G$4:$G$202,MATCH($A112,Data_Svensson!$A$4:$A$202,1))</f>
        <v>16.196763000000001</v>
      </c>
      <c r="K112" s="28">
        <f t="shared" si="64"/>
        <v>0.71344922934108046</v>
      </c>
      <c r="L112" s="28">
        <f t="shared" si="65"/>
        <v>0.225758615201542</v>
      </c>
      <c r="M112" s="28">
        <f t="shared" si="66"/>
        <v>3.9297718548892857E-2</v>
      </c>
      <c r="N112" s="29">
        <f t="shared" si="67"/>
        <v>1.9888808501182766E-2</v>
      </c>
      <c r="O112" s="29">
        <f t="shared" si="68"/>
        <v>1.3888808501182766E-2</v>
      </c>
      <c r="P112" s="28">
        <f t="shared" si="69"/>
        <v>0.51728415126570904</v>
      </c>
      <c r="Q112" s="28">
        <f t="shared" si="70"/>
        <v>-0.43017751965059237</v>
      </c>
      <c r="R112" s="28">
        <f t="shared" si="71"/>
        <v>-0.18076895260198977</v>
      </c>
      <c r="S112" s="28">
        <f t="shared" si="72"/>
        <v>1.0648849395844959</v>
      </c>
      <c r="T112" s="28">
        <f t="shared" si="73"/>
        <v>-1.7210185555316528</v>
      </c>
      <c r="U112" s="28">
        <f t="shared" si="74"/>
        <v>-0.47536466334516714</v>
      </c>
      <c r="V112" s="28">
        <f t="shared" si="75"/>
        <v>587.94718682486746</v>
      </c>
      <c r="W112" s="28">
        <f t="shared" si="76"/>
        <v>345.99397912064001</v>
      </c>
      <c r="X112" s="28">
        <f t="shared" si="77"/>
        <v>-7.4263630016424642</v>
      </c>
      <c r="Y112" s="28">
        <f t="shared" si="78"/>
        <v>127.55734038855508</v>
      </c>
      <c r="Z112" s="28">
        <f t="shared" si="79"/>
        <v>106.9695043140299</v>
      </c>
      <c r="AA112" s="28">
        <f t="shared" si="80"/>
        <v>1359.2532087162488</v>
      </c>
      <c r="AB112" s="32">
        <f t="shared" si="81"/>
        <v>1466.2227130302786</v>
      </c>
      <c r="AC112" s="22">
        <f>INDEX(Data_Cert!$E$4:$E$195,MATCH($A112,Data_Cert!$A$4:$A$195,0))</f>
        <v>1577.23</v>
      </c>
      <c r="AD112" s="22">
        <f t="shared" si="82"/>
        <v>-111.00728696972146</v>
      </c>
      <c r="AE112" s="23">
        <f t="shared" si="83"/>
        <v>-7.038116632940121E-2</v>
      </c>
      <c r="AF112" s="36">
        <f>Data_Stock!D112</f>
        <v>1468.27</v>
      </c>
    </row>
    <row r="113" spans="1:32" x14ac:dyDescent="0.2">
      <c r="A113" s="35">
        <f>Data_Stock!A113</f>
        <v>46066</v>
      </c>
      <c r="B113" s="36">
        <f>Data_Stock!B113</f>
        <v>1593.08</v>
      </c>
      <c r="C113" s="37">
        <f>Data_Stock!C113</f>
        <v>0.439</v>
      </c>
      <c r="D113" s="38">
        <f t="shared" si="63"/>
        <v>1.3424657534246576</v>
      </c>
      <c r="E113" s="28">
        <f>INDEX(Data_Svensson!$B$4:$B$202,MATCH($A113,Data_Svensson!$A$4:$A$202,1))</f>
        <v>1.236092</v>
      </c>
      <c r="F113" s="28">
        <f>INDEX(Data_Svensson!$C$4:$C$202,MATCH($A113,Data_Svensson!$A$4:$A$202,1))</f>
        <v>0.77221200000000001</v>
      </c>
      <c r="G113" s="28">
        <f>INDEX(Data_Svensson!$D$4:$D$202,MATCH($A113,Data_Svensson!$A$4:$A$202,1))</f>
        <v>-0.47992699999999999</v>
      </c>
      <c r="H113" s="28">
        <f>INDEX(Data_Svensson!$E$4:$E$202,MATCH($A113,Data_Svensson!$A$4:$A$202,1))</f>
        <v>7.3179829999999999</v>
      </c>
      <c r="I113" s="28">
        <f>INDEX(Data_Svensson!$F$4:$F$202,MATCH($A113,Data_Svensson!$A$4:$A$202,1))</f>
        <v>1.871095</v>
      </c>
      <c r="J113" s="28">
        <f>INDEX(Data_Svensson!$G$4:$G$202,MATCH($A113,Data_Svensson!$A$4:$A$202,1))</f>
        <v>16.173717</v>
      </c>
      <c r="K113" s="28">
        <f t="shared" si="64"/>
        <v>0.71363729230206951</v>
      </c>
      <c r="L113" s="28">
        <f t="shared" si="65"/>
        <v>0.22565492116764302</v>
      </c>
      <c r="M113" s="28">
        <f t="shared" si="66"/>
        <v>3.9274891236628084E-2</v>
      </c>
      <c r="N113" s="29">
        <f t="shared" si="67"/>
        <v>1.9662863778084357E-2</v>
      </c>
      <c r="O113" s="29">
        <f t="shared" si="68"/>
        <v>1.3662863778084356E-2</v>
      </c>
      <c r="P113" s="28">
        <f t="shared" si="69"/>
        <v>0.50864657913501543</v>
      </c>
      <c r="Q113" s="28">
        <f t="shared" si="70"/>
        <v>-0.42910547486737638</v>
      </c>
      <c r="R113" s="28">
        <f t="shared" si="71"/>
        <v>-0.15683843459394997</v>
      </c>
      <c r="S113" s="28">
        <f t="shared" si="72"/>
        <v>1.1099685052782924</v>
      </c>
      <c r="T113" s="28">
        <f t="shared" si="73"/>
        <v>-1.796008350639299</v>
      </c>
      <c r="U113" s="28">
        <f t="shared" si="74"/>
        <v>-0.52920141076705629</v>
      </c>
      <c r="V113" s="28">
        <f t="shared" si="75"/>
        <v>566.70770695267538</v>
      </c>
      <c r="W113" s="28">
        <f t="shared" si="76"/>
        <v>322.37923754694788</v>
      </c>
      <c r="X113" s="28">
        <f t="shared" si="77"/>
        <v>-6.0772738531574326</v>
      </c>
      <c r="Y113" s="28">
        <f t="shared" si="78"/>
        <v>124.04433248800814</v>
      </c>
      <c r="Z113" s="28">
        <f t="shared" si="79"/>
        <v>114.20686306456193</v>
      </c>
      <c r="AA113" s="28">
        <f t="shared" si="80"/>
        <v>1381.1895467502402</v>
      </c>
      <c r="AB113" s="32">
        <f t="shared" si="81"/>
        <v>1495.3964098148022</v>
      </c>
      <c r="AC113" s="22">
        <f>INDEX(Data_Cert!$E$4:$E$195,MATCH($A113,Data_Cert!$A$4:$A$195,0))</f>
        <v>1594.51</v>
      </c>
      <c r="AD113" s="22">
        <f t="shared" si="82"/>
        <v>-99.113590185197836</v>
      </c>
      <c r="AE113" s="23">
        <f t="shared" si="83"/>
        <v>-6.2159277888001851E-2</v>
      </c>
      <c r="AF113" s="36">
        <f>Data_Stock!D113</f>
        <v>1503.12</v>
      </c>
    </row>
    <row r="114" spans="1:32" x14ac:dyDescent="0.2">
      <c r="A114" s="35">
        <f>Data_Stock!A114</f>
        <v>46069</v>
      </c>
      <c r="B114" s="36">
        <f>Data_Stock!B114</f>
        <v>1603.97</v>
      </c>
      <c r="C114" s="37">
        <f>Data_Stock!C114</f>
        <v>0.42599999999999999</v>
      </c>
      <c r="D114" s="38">
        <f t="shared" si="63"/>
        <v>1.3342465753424657</v>
      </c>
      <c r="E114" s="28">
        <f>INDEX(Data_Svensson!$B$4:$B$202,MATCH($A114,Data_Svensson!$A$4:$A$202,1))</f>
        <v>1.239403</v>
      </c>
      <c r="F114" s="28">
        <f>INDEX(Data_Svensson!$C$4:$C$202,MATCH($A114,Data_Svensson!$A$4:$A$202,1))</f>
        <v>0.77418799999999999</v>
      </c>
      <c r="G114" s="28">
        <f>INDEX(Data_Svensson!$D$4:$D$202,MATCH($A114,Data_Svensson!$A$4:$A$202,1))</f>
        <v>-0.47248000000000001</v>
      </c>
      <c r="H114" s="28">
        <f>INDEX(Data_Svensson!$E$4:$E$202,MATCH($A114,Data_Svensson!$A$4:$A$202,1))</f>
        <v>7.3191360000000003</v>
      </c>
      <c r="I114" s="28">
        <f>INDEX(Data_Svensson!$F$4:$F$202,MATCH($A114,Data_Svensson!$A$4:$A$202,1))</f>
        <v>1.8776520000000001</v>
      </c>
      <c r="J114" s="28">
        <f>INDEX(Data_Svensson!$G$4:$G$202,MATCH($A114,Data_Svensson!$A$4:$A$202,1))</f>
        <v>16.174992</v>
      </c>
      <c r="K114" s="28">
        <f t="shared" si="64"/>
        <v>0.71580670833085247</v>
      </c>
      <c r="L114" s="28">
        <f t="shared" si="65"/>
        <v>0.22445402380656526</v>
      </c>
      <c r="M114" s="28">
        <f t="shared" si="66"/>
        <v>3.904465776554833E-2</v>
      </c>
      <c r="N114" s="29">
        <f t="shared" si="67"/>
        <v>1.9732950870006247E-2</v>
      </c>
      <c r="O114" s="29">
        <f t="shared" si="68"/>
        <v>1.3732950870006247E-2</v>
      </c>
      <c r="P114" s="28">
        <f t="shared" si="69"/>
        <v>0.49207086024966901</v>
      </c>
      <c r="Q114" s="28">
        <f t="shared" si="70"/>
        <v>-0.42432635241020167</v>
      </c>
      <c r="R114" s="28">
        <f t="shared" si="71"/>
        <v>-0.1651700449608231</v>
      </c>
      <c r="S114" s="28">
        <f t="shared" si="72"/>
        <v>1.1443100897977696</v>
      </c>
      <c r="T114" s="28">
        <f t="shared" si="73"/>
        <v>-1.8872457705712082</v>
      </c>
      <c r="U114" s="28">
        <f t="shared" si="74"/>
        <v>-0.57776563581261597</v>
      </c>
      <c r="V114" s="28">
        <f t="shared" si="75"/>
        <v>550.31917400133545</v>
      </c>
      <c r="W114" s="28">
        <f t="shared" si="76"/>
        <v>300.00149338805693</v>
      </c>
      <c r="X114" s="28">
        <f t="shared" si="77"/>
        <v>-4.6773363516136186</v>
      </c>
      <c r="Y114" s="28">
        <f t="shared" si="78"/>
        <v>122.07105504509747</v>
      </c>
      <c r="Z114" s="28">
        <f t="shared" si="79"/>
        <v>123.56928921656743</v>
      </c>
      <c r="AA114" s="28">
        <f t="shared" si="80"/>
        <v>1397.7107343006137</v>
      </c>
      <c r="AB114" s="32">
        <f t="shared" si="81"/>
        <v>1521.2800235171812</v>
      </c>
      <c r="AC114" s="22">
        <f>INDEX(Data_Cert!$E$4:$E$195,MATCH($A114,Data_Cert!$A$4:$A$195,0))</f>
        <v>1605.45</v>
      </c>
      <c r="AD114" s="22">
        <f t="shared" si="82"/>
        <v>-84.169976482818811</v>
      </c>
      <c r="AE114" s="23">
        <f t="shared" si="83"/>
        <v>-5.2427653606664057E-2</v>
      </c>
      <c r="AF114" s="36">
        <f>Data_Stock!D114</f>
        <v>1539.22</v>
      </c>
    </row>
    <row r="115" spans="1:32" x14ac:dyDescent="0.2">
      <c r="A115" s="35">
        <f>Data_Stock!A115</f>
        <v>46070</v>
      </c>
      <c r="B115" s="36">
        <f>Data_Stock!B115</f>
        <v>1595.55</v>
      </c>
      <c r="C115" s="37">
        <f>Data_Stock!C115</f>
        <v>0.41399999999999998</v>
      </c>
      <c r="D115" s="38">
        <f t="shared" si="63"/>
        <v>1.3315068493150686</v>
      </c>
      <c r="E115" s="28">
        <f>INDEX(Data_Svensson!$B$4:$B$202,MATCH($A115,Data_Svensson!$A$4:$A$202,1))</f>
        <v>1.2372540000000001</v>
      </c>
      <c r="F115" s="28">
        <f>INDEX(Data_Svensson!$C$4:$C$202,MATCH($A115,Data_Svensson!$A$4:$A$202,1))</f>
        <v>0.77461800000000003</v>
      </c>
      <c r="G115" s="28">
        <f>INDEX(Data_Svensson!$D$4:$D$202,MATCH($A115,Data_Svensson!$A$4:$A$202,1))</f>
        <v>-0.79736499999999999</v>
      </c>
      <c r="H115" s="28">
        <f>INDEX(Data_Svensson!$E$4:$E$202,MATCH($A115,Data_Svensson!$A$4:$A$202,1))</f>
        <v>7.3121919999999996</v>
      </c>
      <c r="I115" s="28">
        <f>INDEX(Data_Svensson!$F$4:$F$202,MATCH($A115,Data_Svensson!$A$4:$A$202,1))</f>
        <v>2.4081610000000002</v>
      </c>
      <c r="J115" s="28">
        <f>INDEX(Data_Svensson!$G$4:$G$202,MATCH($A115,Data_Svensson!$A$4:$A$202,1))</f>
        <v>15.479402</v>
      </c>
      <c r="K115" s="28">
        <f t="shared" si="64"/>
        <v>0.76816448967697126</v>
      </c>
      <c r="L115" s="28">
        <f t="shared" si="65"/>
        <v>0.19289368320078526</v>
      </c>
      <c r="M115" s="28">
        <f t="shared" si="66"/>
        <v>4.0620388706211208E-2</v>
      </c>
      <c r="N115" s="29">
        <f t="shared" si="67"/>
        <v>1.9755054502936499E-2</v>
      </c>
      <c r="O115" s="29">
        <f t="shared" si="68"/>
        <v>1.3755054502936499E-2</v>
      </c>
      <c r="P115" s="28">
        <f t="shared" si="69"/>
        <v>0.47771848189619531</v>
      </c>
      <c r="Q115" s="28">
        <f t="shared" si="70"/>
        <v>-0.41974693398366064</v>
      </c>
      <c r="R115" s="28">
        <f t="shared" si="71"/>
        <v>-0.19573505414565939</v>
      </c>
      <c r="S115" s="28">
        <f t="shared" si="72"/>
        <v>1.1530865653003457</v>
      </c>
      <c r="T115" s="28">
        <f t="shared" si="73"/>
        <v>-1.9475129571204741</v>
      </c>
      <c r="U115" s="28">
        <f t="shared" si="74"/>
        <v>-0.59869133767446892</v>
      </c>
      <c r="V115" s="28">
        <f t="shared" si="75"/>
        <v>546.17421518391757</v>
      </c>
      <c r="W115" s="28">
        <f t="shared" si="76"/>
        <v>289.50963518177508</v>
      </c>
      <c r="X115" s="28">
        <f t="shared" si="77"/>
        <v>-3.8940883875635208</v>
      </c>
      <c r="Y115" s="28">
        <f t="shared" si="78"/>
        <v>122.3849511589039</v>
      </c>
      <c r="Z115" s="28">
        <f t="shared" si="79"/>
        <v>130.38554045567506</v>
      </c>
      <c r="AA115" s="28">
        <f t="shared" si="80"/>
        <v>1401.9036770760924</v>
      </c>
      <c r="AB115" s="32">
        <f t="shared" si="81"/>
        <v>1532.2892175317675</v>
      </c>
      <c r="AC115" s="22">
        <f>INDEX(Data_Cert!$E$4:$E$195,MATCH($A115,Data_Cert!$A$4:$A$195,0))</f>
        <v>1593.22</v>
      </c>
      <c r="AD115" s="22">
        <f t="shared" si="82"/>
        <v>-60.930782468232564</v>
      </c>
      <c r="AE115" s="23">
        <f t="shared" si="83"/>
        <v>-3.8243797132996422E-2</v>
      </c>
      <c r="AF115" s="36">
        <f>Data_Stock!D115</f>
        <v>1546.02</v>
      </c>
    </row>
    <row r="116" spans="1:32" x14ac:dyDescent="0.2">
      <c r="A116" s="35">
        <f>Data_Stock!A116</f>
        <v>46071</v>
      </c>
      <c r="B116" s="36">
        <f>Data_Stock!B116</f>
        <v>1677.23</v>
      </c>
      <c r="C116" s="37">
        <f>Data_Stock!C116</f>
        <v>0.44600000000000001</v>
      </c>
      <c r="D116" s="38">
        <f t="shared" si="63"/>
        <v>1.3287671232876712</v>
      </c>
      <c r="E116" s="28">
        <f>INDEX(Data_Svensson!$B$4:$B$202,MATCH($A116,Data_Svensson!$A$4:$A$202,1))</f>
        <v>1.223819</v>
      </c>
      <c r="F116" s="28">
        <f>INDEX(Data_Svensson!$C$4:$C$202,MATCH($A116,Data_Svensson!$A$4:$A$202,1))</f>
        <v>0.77469200000000005</v>
      </c>
      <c r="G116" s="28">
        <f>INDEX(Data_Svensson!$D$4:$D$202,MATCH($A116,Data_Svensson!$A$4:$A$202,1))</f>
        <v>-0.56721200000000005</v>
      </c>
      <c r="H116" s="28">
        <f>INDEX(Data_Svensson!$E$4:$E$202,MATCH($A116,Data_Svensson!$A$4:$A$202,1))</f>
        <v>7.3306839999999998</v>
      </c>
      <c r="I116" s="28">
        <f>INDEX(Data_Svensson!$F$4:$F$202,MATCH($A116,Data_Svensson!$A$4:$A$202,1))</f>
        <v>2.2176100000000001</v>
      </c>
      <c r="J116" s="28">
        <f>INDEX(Data_Svensson!$G$4:$G$202,MATCH($A116,Data_Svensson!$A$4:$A$202,1))</f>
        <v>15.992385000000001</v>
      </c>
      <c r="K116" s="28">
        <f t="shared" si="64"/>
        <v>0.75225535398022503</v>
      </c>
      <c r="L116" s="28">
        <f t="shared" si="65"/>
        <v>0.20299835328400362</v>
      </c>
      <c r="M116" s="28">
        <f t="shared" si="66"/>
        <v>3.9312705968806649E-2</v>
      </c>
      <c r="N116" s="29">
        <f t="shared" si="67"/>
        <v>1.9796311273649576E-2</v>
      </c>
      <c r="O116" s="29">
        <f t="shared" si="68"/>
        <v>1.3796311273649576E-2</v>
      </c>
      <c r="P116" s="28">
        <f t="shared" si="69"/>
        <v>0.51411384059942444</v>
      </c>
      <c r="Q116" s="28">
        <f t="shared" si="70"/>
        <v>-0.43064252612334059</v>
      </c>
      <c r="R116" s="28">
        <f t="shared" si="71"/>
        <v>-4.9628992734826793E-2</v>
      </c>
      <c r="S116" s="28">
        <f t="shared" si="72"/>
        <v>1.2037062912155789</v>
      </c>
      <c r="T116" s="28">
        <f t="shared" si="73"/>
        <v>-1.8716124600285533</v>
      </c>
      <c r="U116" s="28">
        <f t="shared" si="74"/>
        <v>-0.61827717607814714</v>
      </c>
      <c r="V116" s="28">
        <f t="shared" si="75"/>
        <v>525.13553565365532</v>
      </c>
      <c r="W116" s="28">
        <f t="shared" si="76"/>
        <v>287.44672112747548</v>
      </c>
      <c r="X116" s="28">
        <f t="shared" si="77"/>
        <v>-5.0466357119970375</v>
      </c>
      <c r="Y116" s="28">
        <f t="shared" si="78"/>
        <v>113.60025226465189</v>
      </c>
      <c r="Z116" s="28">
        <f t="shared" si="79"/>
        <v>119.04192654953093</v>
      </c>
      <c r="AA116" s="28">
        <f t="shared" si="80"/>
        <v>1422.9409984000213</v>
      </c>
      <c r="AB116" s="32">
        <f t="shared" si="81"/>
        <v>1541.9829249495522</v>
      </c>
      <c r="AC116" s="22">
        <f>INDEX(Data_Cert!$E$4:$E$195,MATCH($A116,Data_Cert!$A$4:$A$195,0))</f>
        <v>1646.53</v>
      </c>
      <c r="AD116" s="22">
        <f t="shared" si="82"/>
        <v>-104.5470750504478</v>
      </c>
      <c r="AE116" s="23">
        <f t="shared" si="83"/>
        <v>-6.3495396409690569E-2</v>
      </c>
      <c r="AF116" s="36">
        <f>Data_Stock!D116</f>
        <v>1544.72</v>
      </c>
    </row>
    <row r="117" spans="1:32" x14ac:dyDescent="0.2">
      <c r="A117" s="35">
        <f>Data_Stock!A117</f>
        <v>46072</v>
      </c>
      <c r="B117" s="36">
        <f>Data_Stock!B117</f>
        <v>1726.24</v>
      </c>
      <c r="C117" s="37">
        <f>Data_Stock!C117</f>
        <v>0.44600000000000001</v>
      </c>
      <c r="D117" s="38">
        <f t="shared" si="63"/>
        <v>1.3260273972602741</v>
      </c>
      <c r="E117" s="28">
        <f>INDEX(Data_Svensson!$B$4:$B$202,MATCH($A117,Data_Svensson!$A$4:$A$202,1))</f>
        <v>1.222297</v>
      </c>
      <c r="F117" s="28">
        <f>INDEX(Data_Svensson!$C$4:$C$202,MATCH($A117,Data_Svensson!$A$4:$A$202,1))</f>
        <v>0.77460799999999996</v>
      </c>
      <c r="G117" s="28">
        <f>INDEX(Data_Svensson!$D$4:$D$202,MATCH($A117,Data_Svensson!$A$4:$A$202,1))</f>
        <v>-0.44126799999999999</v>
      </c>
      <c r="H117" s="28">
        <f>INDEX(Data_Svensson!$E$4:$E$202,MATCH($A117,Data_Svensson!$A$4:$A$202,1))</f>
        <v>7.3355569999999997</v>
      </c>
      <c r="I117" s="28">
        <f>INDEX(Data_Svensson!$F$4:$F$202,MATCH($A117,Data_Svensson!$A$4:$A$202,1))</f>
        <v>2.0383490000000002</v>
      </c>
      <c r="J117" s="28">
        <f>INDEX(Data_Svensson!$G$4:$G$202,MATCH($A117,Data_Svensson!$A$4:$A$202,1))</f>
        <v>16.23367</v>
      </c>
      <c r="K117" s="28">
        <f t="shared" si="64"/>
        <v>0.73513706879230478</v>
      </c>
      <c r="L117" s="28">
        <f t="shared" si="65"/>
        <v>0.21337307938725536</v>
      </c>
      <c r="M117" s="28">
        <f t="shared" si="66"/>
        <v>3.8684474062818164E-2</v>
      </c>
      <c r="N117" s="29">
        <f t="shared" si="67"/>
        <v>1.9813575070908383E-2</v>
      </c>
      <c r="O117" s="29">
        <f t="shared" si="68"/>
        <v>1.3813575070908383E-2</v>
      </c>
      <c r="P117" s="28">
        <f t="shared" si="69"/>
        <v>0.51358355284551771</v>
      </c>
      <c r="Q117" s="28">
        <f t="shared" si="70"/>
        <v>-0.43055573673858116</v>
      </c>
      <c r="R117" s="28">
        <f t="shared" si="71"/>
        <v>5.840654591013128E-3</v>
      </c>
      <c r="S117" s="28">
        <f t="shared" si="72"/>
        <v>1.2604700383016931</v>
      </c>
      <c r="T117" s="28">
        <f t="shared" si="73"/>
        <v>-1.9301850062657775</v>
      </c>
      <c r="U117" s="28">
        <f t="shared" si="74"/>
        <v>-0.67555562255509738</v>
      </c>
      <c r="V117" s="28">
        <f t="shared" si="75"/>
        <v>500.07459772971868</v>
      </c>
      <c r="W117" s="28">
        <f t="shared" si="76"/>
        <v>265.65196589107751</v>
      </c>
      <c r="X117" s="28">
        <f t="shared" si="77"/>
        <v>-4.3235084375682824</v>
      </c>
      <c r="Y117" s="28">
        <f t="shared" si="78"/>
        <v>107.58706608427099</v>
      </c>
      <c r="Z117" s="28">
        <f t="shared" si="79"/>
        <v>122.5120573168019</v>
      </c>
      <c r="AA117" s="28">
        <f t="shared" si="80"/>
        <v>1448.0629981835559</v>
      </c>
      <c r="AB117" s="32">
        <f t="shared" si="81"/>
        <v>1570.5750555003578</v>
      </c>
      <c r="AC117" s="22">
        <f>INDEX(Data_Cert!$E$4:$E$195,MATCH($A117,Data_Cert!$A$4:$A$195,0))</f>
        <v>1670.44</v>
      </c>
      <c r="AD117" s="22">
        <f t="shared" si="82"/>
        <v>-99.864944499642206</v>
      </c>
      <c r="AE117" s="23">
        <f t="shared" si="83"/>
        <v>-5.9783616591821437E-2</v>
      </c>
      <c r="AF117" s="36">
        <f>Data_Stock!D117</f>
        <v>1575.47</v>
      </c>
    </row>
    <row r="118" spans="1:32" x14ac:dyDescent="0.2">
      <c r="A118" s="35">
        <f>Data_Stock!A118</f>
        <v>46073</v>
      </c>
      <c r="B118" s="36">
        <f>Data_Stock!B118</f>
        <v>1722.78</v>
      </c>
      <c r="C118" s="37">
        <f>Data_Stock!C118</f>
        <v>0.433</v>
      </c>
      <c r="D118" s="38">
        <f t="shared" si="63"/>
        <v>1.3232876712328767</v>
      </c>
      <c r="E118" s="28">
        <f>INDEX(Data_Svensson!$B$4:$B$202,MATCH($A118,Data_Svensson!$A$4:$A$202,1))</f>
        <v>1.1982139999999999</v>
      </c>
      <c r="F118" s="28">
        <f>INDEX(Data_Svensson!$C$4:$C$202,MATCH($A118,Data_Svensson!$A$4:$A$202,1))</f>
        <v>0.76985599999999998</v>
      </c>
      <c r="G118" s="28">
        <f>INDEX(Data_Svensson!$D$4:$D$202,MATCH($A118,Data_Svensson!$A$4:$A$202,1))</f>
        <v>-0.46529199999999998</v>
      </c>
      <c r="H118" s="28">
        <f>INDEX(Data_Svensson!$E$4:$E$202,MATCH($A118,Data_Svensson!$A$4:$A$202,1))</f>
        <v>7.2988280000000003</v>
      </c>
      <c r="I118" s="28">
        <f>INDEX(Data_Svensson!$F$4:$F$202,MATCH($A118,Data_Svensson!$A$4:$A$202,1))</f>
        <v>2.2674639999999999</v>
      </c>
      <c r="J118" s="28">
        <f>INDEX(Data_Svensson!$G$4:$G$202,MATCH($A118,Data_Svensson!$A$4:$A$202,1))</f>
        <v>15.982882</v>
      </c>
      <c r="K118" s="28">
        <f t="shared" si="64"/>
        <v>0.75756344091077177</v>
      </c>
      <c r="L118" s="28">
        <f t="shared" si="65"/>
        <v>0.19967602198547918</v>
      </c>
      <c r="M118" s="28">
        <f t="shared" si="66"/>
        <v>3.9181480324912976E-2</v>
      </c>
      <c r="N118" s="29">
        <f t="shared" si="67"/>
        <v>1.9744999904210594E-2</v>
      </c>
      <c r="O118" s="29">
        <f t="shared" si="68"/>
        <v>1.3744999904210594E-2</v>
      </c>
      <c r="P118" s="28">
        <f t="shared" si="69"/>
        <v>0.49809826559804526</v>
      </c>
      <c r="Q118" s="28">
        <f t="shared" si="70"/>
        <v>-0.42668903293414234</v>
      </c>
      <c r="R118" s="28">
        <f t="shared" si="71"/>
        <v>-1.3989981313238642E-2</v>
      </c>
      <c r="S118" s="28">
        <f t="shared" si="72"/>
        <v>1.2796443492878955</v>
      </c>
      <c r="T118" s="28">
        <f t="shared" si="73"/>
        <v>-2.0021482832013469</v>
      </c>
      <c r="U118" s="28">
        <f t="shared" si="74"/>
        <v>-0.70851395260021222</v>
      </c>
      <c r="V118" s="28">
        <f t="shared" si="75"/>
        <v>491.40967370728617</v>
      </c>
      <c r="W118" s="28">
        <f t="shared" si="76"/>
        <v>251.78778956763622</v>
      </c>
      <c r="X118" s="28">
        <f t="shared" si="77"/>
        <v>-3.4786253193169507</v>
      </c>
      <c r="Y118" s="28">
        <f t="shared" si="78"/>
        <v>106.46440631248257</v>
      </c>
      <c r="Z118" s="28">
        <f t="shared" si="79"/>
        <v>129.67885250785042</v>
      </c>
      <c r="AA118" s="28">
        <f t="shared" si="80"/>
        <v>1457.0104780511756</v>
      </c>
      <c r="AB118" s="32">
        <f t="shared" si="81"/>
        <v>1586.6893305590261</v>
      </c>
      <c r="AC118" s="22">
        <f>INDEX(Data_Cert!$E$4:$E$195,MATCH($A118,Data_Cert!$A$4:$A$195,0))</f>
        <v>1669.86</v>
      </c>
      <c r="AD118" s="22">
        <f t="shared" si="82"/>
        <v>-83.170669440973825</v>
      </c>
      <c r="AE118" s="23">
        <f t="shared" si="83"/>
        <v>-4.9806971507176549E-2</v>
      </c>
      <c r="AF118" s="36">
        <f>Data_Stock!D118</f>
        <v>1606.55</v>
      </c>
    </row>
    <row r="119" spans="1:32" x14ac:dyDescent="0.2">
      <c r="A119" s="35">
        <f>Data_Stock!A119</f>
        <v>46076</v>
      </c>
      <c r="B119" s="36">
        <f>Data_Stock!B119</f>
        <v>1684.66</v>
      </c>
      <c r="C119" s="37">
        <f>Data_Stock!C119</f>
        <v>0.42799999999999999</v>
      </c>
      <c r="D119" s="38">
        <f t="shared" si="63"/>
        <v>1.3150684931506849</v>
      </c>
      <c r="E119" s="28">
        <f>INDEX(Data_Svensson!$B$4:$B$202,MATCH($A119,Data_Svensson!$A$4:$A$202,1))</f>
        <v>1.2091400000000001</v>
      </c>
      <c r="F119" s="28">
        <f>INDEX(Data_Svensson!$C$4:$C$202,MATCH($A119,Data_Svensson!$A$4:$A$202,1))</f>
        <v>0.77492099999999997</v>
      </c>
      <c r="G119" s="28">
        <f>INDEX(Data_Svensson!$D$4:$D$202,MATCH($A119,Data_Svensson!$A$4:$A$202,1))</f>
        <v>-0.81897399999999998</v>
      </c>
      <c r="H119" s="28">
        <f>INDEX(Data_Svensson!$E$4:$E$202,MATCH($A119,Data_Svensson!$A$4:$A$202,1))</f>
        <v>7.387918</v>
      </c>
      <c r="I119" s="28">
        <f>INDEX(Data_Svensson!$F$4:$F$202,MATCH($A119,Data_Svensson!$A$4:$A$202,1))</f>
        <v>2.722099</v>
      </c>
      <c r="J119" s="28">
        <f>INDEX(Data_Svensson!$G$4:$G$202,MATCH($A119,Data_Svensson!$A$4:$A$202,1))</f>
        <v>15.519603</v>
      </c>
      <c r="K119" s="28">
        <f t="shared" si="64"/>
        <v>0.79306647130752161</v>
      </c>
      <c r="L119" s="28">
        <f t="shared" si="65"/>
        <v>0.17620342899741948</v>
      </c>
      <c r="M119" s="28">
        <f t="shared" si="66"/>
        <v>4.0048950537918238E-2</v>
      </c>
      <c r="N119" s="29">
        <f t="shared" si="67"/>
        <v>1.9752761985125593E-2</v>
      </c>
      <c r="O119" s="29">
        <f t="shared" si="68"/>
        <v>1.3752761985125593E-2</v>
      </c>
      <c r="P119" s="28">
        <f t="shared" si="69"/>
        <v>0.49081514529333248</v>
      </c>
      <c r="Q119" s="28">
        <f t="shared" si="70"/>
        <v>-0.42492378163417333</v>
      </c>
      <c r="R119" s="28">
        <f t="shared" si="71"/>
        <v>-6.7332559810496406E-2</v>
      </c>
      <c r="S119" s="28">
        <f t="shared" si="72"/>
        <v>1.2454977849120925</v>
      </c>
      <c r="T119" s="28">
        <f t="shared" si="73"/>
        <v>-1.9938158942907547</v>
      </c>
      <c r="U119" s="28">
        <f t="shared" si="74"/>
        <v>-0.68098554956816582</v>
      </c>
      <c r="V119" s="28">
        <f t="shared" si="75"/>
        <v>506.18841000987186</v>
      </c>
      <c r="W119" s="28">
        <f t="shared" si="76"/>
        <v>260.92593974944822</v>
      </c>
      <c r="X119" s="28">
        <f t="shared" si="77"/>
        <v>-3.5173683732175007</v>
      </c>
      <c r="Y119" s="28">
        <f t="shared" si="78"/>
        <v>110.74897956785654</v>
      </c>
      <c r="Z119" s="28">
        <f t="shared" si="79"/>
        <v>130.99612231934961</v>
      </c>
      <c r="AA119" s="28">
        <f t="shared" si="80"/>
        <v>1442.5280800229234</v>
      </c>
      <c r="AB119" s="32">
        <f t="shared" si="81"/>
        <v>1573.5242023422729</v>
      </c>
      <c r="AC119" s="22">
        <f>INDEX(Data_Cert!$E$4:$E$195,MATCH($A119,Data_Cert!$A$4:$A$195,0))</f>
        <v>1648.95</v>
      </c>
      <c r="AD119" s="22">
        <f t="shared" si="82"/>
        <v>-75.425797657727117</v>
      </c>
      <c r="AE119" s="23">
        <f t="shared" si="83"/>
        <v>-4.5741713003867382E-2</v>
      </c>
      <c r="AF119" s="36">
        <f>Data_Stock!D119</f>
        <v>1579.79</v>
      </c>
    </row>
    <row r="120" spans="1:32" x14ac:dyDescent="0.2">
      <c r="A120" s="35">
        <f>Data_Stock!A120</f>
        <v>46077</v>
      </c>
      <c r="B120" s="36">
        <f>Data_Stock!B120</f>
        <v>1707.43</v>
      </c>
      <c r="C120" s="37">
        <f>Data_Stock!C120</f>
        <v>0.41899999999999998</v>
      </c>
      <c r="D120" s="38">
        <f t="shared" si="63"/>
        <v>1.3123287671232877</v>
      </c>
      <c r="E120" s="28">
        <f>INDEX(Data_Svensson!$B$4:$B$202,MATCH($A120,Data_Svensson!$A$4:$A$202,1))</f>
        <v>1.2042189999999999</v>
      </c>
      <c r="F120" s="28">
        <f>INDEX(Data_Svensson!$C$4:$C$202,MATCH($A120,Data_Svensson!$A$4:$A$202,1))</f>
        <v>0.78980300000000003</v>
      </c>
      <c r="G120" s="28">
        <f>INDEX(Data_Svensson!$D$4:$D$202,MATCH($A120,Data_Svensson!$A$4:$A$202,1))</f>
        <v>-0.84249399999999997</v>
      </c>
      <c r="H120" s="28">
        <f>INDEX(Data_Svensson!$E$4:$E$202,MATCH($A120,Data_Svensson!$A$4:$A$202,1))</f>
        <v>7.3533619999999997</v>
      </c>
      <c r="I120" s="28">
        <f>INDEX(Data_Svensson!$F$4:$F$202,MATCH($A120,Data_Svensson!$A$4:$A$202,1))</f>
        <v>2.729212</v>
      </c>
      <c r="J120" s="28">
        <f>INDEX(Data_Svensson!$G$4:$G$202,MATCH($A120,Data_Svensson!$A$4:$A$202,1))</f>
        <v>15.527056999999999</v>
      </c>
      <c r="K120" s="28">
        <f t="shared" si="64"/>
        <v>0.79389243175588275</v>
      </c>
      <c r="L120" s="28">
        <f t="shared" si="65"/>
        <v>0.17563187749872222</v>
      </c>
      <c r="M120" s="28">
        <f t="shared" si="66"/>
        <v>3.9952070868631395E-2</v>
      </c>
      <c r="N120" s="29">
        <f t="shared" si="67"/>
        <v>1.9770508610233842E-2</v>
      </c>
      <c r="O120" s="29">
        <f t="shared" si="68"/>
        <v>1.3770508610233842E-2</v>
      </c>
      <c r="P120" s="28">
        <f t="shared" si="69"/>
        <v>0.47999349025266114</v>
      </c>
      <c r="Q120" s="28">
        <f t="shared" si="70"/>
        <v>-0.42156282653759186</v>
      </c>
      <c r="R120" s="28">
        <f t="shared" si="71"/>
        <v>-5.1853942024083666E-2</v>
      </c>
      <c r="S120" s="28">
        <f t="shared" si="72"/>
        <v>1.2905747147715194</v>
      </c>
      <c r="T120" s="28">
        <f t="shared" si="73"/>
        <v>-2.0777112160029123</v>
      </c>
      <c r="U120" s="28">
        <f t="shared" si="74"/>
        <v>-0.73528255920730889</v>
      </c>
      <c r="V120" s="28">
        <f t="shared" si="75"/>
        <v>487.13187151920658</v>
      </c>
      <c r="W120" s="28">
        <f t="shared" si="76"/>
        <v>240.17384128593494</v>
      </c>
      <c r="X120" s="28">
        <f t="shared" si="77"/>
        <v>-2.7436356931716954</v>
      </c>
      <c r="Y120" s="28">
        <f t="shared" si="78"/>
        <v>106.18517047562079</v>
      </c>
      <c r="Z120" s="28">
        <f t="shared" si="79"/>
        <v>138.02922406447917</v>
      </c>
      <c r="AA120" s="28">
        <f t="shared" si="80"/>
        <v>1461.6446939833318</v>
      </c>
      <c r="AB120" s="32">
        <f t="shared" si="81"/>
        <v>1599.673918047811</v>
      </c>
      <c r="AC120" s="22">
        <f>INDEX(Data_Cert!$E$4:$E$195,MATCH($A120,Data_Cert!$A$4:$A$195,0))</f>
        <v>1661.76</v>
      </c>
      <c r="AD120" s="22">
        <f t="shared" si="82"/>
        <v>-62.086081952189033</v>
      </c>
      <c r="AE120" s="23">
        <f t="shared" si="83"/>
        <v>-3.7361641844904821E-2</v>
      </c>
      <c r="AF120" s="36">
        <f>Data_Stock!D120</f>
        <v>1614.01</v>
      </c>
    </row>
    <row r="121" spans="1:32" x14ac:dyDescent="0.2">
      <c r="A121" s="35">
        <f>Data_Stock!A121</f>
        <v>46078</v>
      </c>
      <c r="B121" s="36">
        <f>Data_Stock!B121</f>
        <v>1665.35</v>
      </c>
      <c r="C121" s="37">
        <f>Data_Stock!C121</f>
        <v>0.41699999999999998</v>
      </c>
      <c r="D121" s="38">
        <f t="shared" si="63"/>
        <v>1.3095890410958904</v>
      </c>
      <c r="E121" s="28">
        <f>INDEX(Data_Svensson!$B$4:$B$202,MATCH($A121,Data_Svensson!$A$4:$A$202,1))</f>
        <v>1.209443</v>
      </c>
      <c r="F121" s="28">
        <f>INDEX(Data_Svensson!$C$4:$C$202,MATCH($A121,Data_Svensson!$A$4:$A$202,1))</f>
        <v>0.79145799999999999</v>
      </c>
      <c r="G121" s="28">
        <f>INDEX(Data_Svensson!$D$4:$D$202,MATCH($A121,Data_Svensson!$A$4:$A$202,1))</f>
        <v>-0.86073599999999995</v>
      </c>
      <c r="H121" s="28">
        <f>INDEX(Data_Svensson!$E$4:$E$202,MATCH($A121,Data_Svensson!$A$4:$A$202,1))</f>
        <v>7.3593299999999999</v>
      </c>
      <c r="I121" s="28">
        <f>INDEX(Data_Svensson!$F$4:$F$202,MATCH($A121,Data_Svensson!$A$4:$A$202,1))</f>
        <v>2.7273299999999998</v>
      </c>
      <c r="J121" s="28">
        <f>INDEX(Data_Svensson!$G$4:$G$202,MATCH($A121,Data_Svensson!$A$4:$A$202,1))</f>
        <v>15.531218000000001</v>
      </c>
      <c r="K121" s="28">
        <f t="shared" si="64"/>
        <v>0.79413820607613939</v>
      </c>
      <c r="L121" s="28">
        <f t="shared" si="65"/>
        <v>0.17546158527589228</v>
      </c>
      <c r="M121" s="28">
        <f t="shared" si="66"/>
        <v>3.9863234275780313E-2</v>
      </c>
      <c r="N121" s="29">
        <f t="shared" si="67"/>
        <v>1.9803106291433573E-2</v>
      </c>
      <c r="O121" s="29">
        <f t="shared" si="68"/>
        <v>1.3803106291433572E-2</v>
      </c>
      <c r="P121" s="28">
        <f t="shared" si="69"/>
        <v>0.47720344588772956</v>
      </c>
      <c r="Q121" s="28">
        <f t="shared" si="70"/>
        <v>-0.42062116470027677</v>
      </c>
      <c r="R121" s="28">
        <f t="shared" si="71"/>
        <v>-0.10723708794117398</v>
      </c>
      <c r="S121" s="28">
        <f t="shared" si="72"/>
        <v>1.2430402873443966</v>
      </c>
      <c r="T121" s="28">
        <f t="shared" si="73"/>
        <v>-2.0403545092710731</v>
      </c>
      <c r="U121" s="28">
        <f t="shared" si="74"/>
        <v>-0.69007713398550208</v>
      </c>
      <c r="V121" s="28">
        <f t="shared" si="75"/>
        <v>507.47271064439622</v>
      </c>
      <c r="W121" s="28">
        <f t="shared" si="76"/>
        <v>255.73622573412331</v>
      </c>
      <c r="X121" s="28">
        <f t="shared" si="77"/>
        <v>-3.0278412421288934</v>
      </c>
      <c r="Y121" s="28">
        <f t="shared" si="78"/>
        <v>111.88046053536934</v>
      </c>
      <c r="Z121" s="28">
        <f t="shared" si="79"/>
        <v>136.82818313277468</v>
      </c>
      <c r="AA121" s="28">
        <f t="shared" si="80"/>
        <v>1441.326219557433</v>
      </c>
      <c r="AB121" s="32">
        <f t="shared" si="81"/>
        <v>1578.1544026902077</v>
      </c>
      <c r="AC121" s="22">
        <f>INDEX(Data_Cert!$E$4:$E$195,MATCH($A121,Data_Cert!$A$4:$A$195,0))</f>
        <v>1638.25</v>
      </c>
      <c r="AD121" s="22">
        <f t="shared" si="82"/>
        <v>-60.095597309792311</v>
      </c>
      <c r="AE121" s="23">
        <f t="shared" si="83"/>
        <v>-3.6682800128058787E-2</v>
      </c>
      <c r="AF121" s="36">
        <f>Data_Stock!D121</f>
        <v>1583.59</v>
      </c>
    </row>
    <row r="122" spans="1:32" x14ac:dyDescent="0.2">
      <c r="A122" s="35">
        <f>Data_Stock!A122</f>
        <v>46079</v>
      </c>
      <c r="B122" s="36">
        <f>Data_Stock!B122</f>
        <v>1657.43</v>
      </c>
      <c r="C122" s="37">
        <f>Data_Stock!C122</f>
        <v>0.40500000000000003</v>
      </c>
      <c r="D122" s="38">
        <f t="shared" si="63"/>
        <v>1.3068493150684932</v>
      </c>
      <c r="E122" s="28">
        <f>INDEX(Data_Svensson!$B$4:$B$202,MATCH($A122,Data_Svensson!$A$4:$A$202,1))</f>
        <v>1.1899500000000001</v>
      </c>
      <c r="F122" s="28">
        <f>INDEX(Data_Svensson!$C$4:$C$202,MATCH($A122,Data_Svensson!$A$4:$A$202,1))</f>
        <v>0.77628200000000003</v>
      </c>
      <c r="G122" s="28">
        <f>INDEX(Data_Svensson!$D$4:$D$202,MATCH($A122,Data_Svensson!$A$4:$A$202,1))</f>
        <v>-0.65381999999999996</v>
      </c>
      <c r="H122" s="28">
        <f>INDEX(Data_Svensson!$E$4:$E$202,MATCH($A122,Data_Svensson!$A$4:$A$202,1))</f>
        <v>7.321428</v>
      </c>
      <c r="I122" s="28">
        <f>INDEX(Data_Svensson!$F$4:$F$202,MATCH($A122,Data_Svensson!$A$4:$A$202,1))</f>
        <v>2.7086160000000001</v>
      </c>
      <c r="J122" s="28">
        <f>INDEX(Data_Svensson!$G$4:$G$202,MATCH($A122,Data_Svensson!$A$4:$A$202,1))</f>
        <v>16.29251</v>
      </c>
      <c r="K122" s="28">
        <f t="shared" si="64"/>
        <v>0.79329616210824361</v>
      </c>
      <c r="L122" s="28">
        <f t="shared" si="65"/>
        <v>0.17604460119950738</v>
      </c>
      <c r="M122" s="28">
        <f t="shared" si="66"/>
        <v>3.8024346602089754E-2</v>
      </c>
      <c r="N122" s="29">
        <f t="shared" si="67"/>
        <v>1.9690625660516946E-2</v>
      </c>
      <c r="O122" s="29">
        <f t="shared" si="68"/>
        <v>1.3690625660516946E-2</v>
      </c>
      <c r="P122" s="28">
        <f t="shared" si="69"/>
        <v>0.46298591652890436</v>
      </c>
      <c r="Q122" s="28">
        <f t="shared" si="70"/>
        <v>-0.4165332988232468</v>
      </c>
      <c r="R122" s="28">
        <f t="shared" si="71"/>
        <v>-0.13566159183184839</v>
      </c>
      <c r="S122" s="28">
        <f t="shared" si="72"/>
        <v>1.2560805614098385</v>
      </c>
      <c r="T122" s="28">
        <f t="shared" si="73"/>
        <v>-2.1075489838346946</v>
      </c>
      <c r="U122" s="28">
        <f t="shared" si="74"/>
        <v>-0.71580683059300798</v>
      </c>
      <c r="V122" s="28">
        <f t="shared" si="75"/>
        <v>502.76906013927521</v>
      </c>
      <c r="W122" s="28">
        <f t="shared" si="76"/>
        <v>244.93664048739069</v>
      </c>
      <c r="X122" s="28">
        <f t="shared" si="77"/>
        <v>-2.4525656428293612</v>
      </c>
      <c r="Y122" s="28">
        <f t="shared" si="78"/>
        <v>111.11735989578071</v>
      </c>
      <c r="Z122" s="28">
        <f t="shared" si="79"/>
        <v>144.26249411327441</v>
      </c>
      <c r="AA122" s="28">
        <f t="shared" si="80"/>
        <v>1446.4221059406896</v>
      </c>
      <c r="AB122" s="32">
        <f t="shared" si="81"/>
        <v>1590.684600053964</v>
      </c>
      <c r="AC122" s="22">
        <f>INDEX(Data_Cert!$E$4:$E$195,MATCH($A122,Data_Cert!$A$4:$A$195,0))</f>
        <v>1633.3</v>
      </c>
      <c r="AD122" s="22">
        <f t="shared" si="82"/>
        <v>-42.61539994603595</v>
      </c>
      <c r="AE122" s="23">
        <f t="shared" si="83"/>
        <v>-2.6091593672954112E-2</v>
      </c>
      <c r="AF122" s="36">
        <f>Data_Stock!D122</f>
        <v>1590.55</v>
      </c>
    </row>
    <row r="123" spans="1:32" x14ac:dyDescent="0.2">
      <c r="A123" s="35">
        <f>Data_Stock!A123</f>
        <v>46080</v>
      </c>
      <c r="B123" s="36">
        <f>Data_Stock!B123</f>
        <v>1647.04</v>
      </c>
      <c r="C123" s="37">
        <f>Data_Stock!C123</f>
        <v>0.39300000000000002</v>
      </c>
      <c r="D123" s="38">
        <f t="shared" si="63"/>
        <v>1.3041095890410959</v>
      </c>
      <c r="E123" s="28">
        <f>INDEX(Data_Svensson!$B$4:$B$202,MATCH($A123,Data_Svensson!$A$4:$A$202,1))</f>
        <v>1.193964</v>
      </c>
      <c r="F123" s="28">
        <f>INDEX(Data_Svensson!$C$4:$C$202,MATCH($A123,Data_Svensson!$A$4:$A$202,1))</f>
        <v>0.78112099999999995</v>
      </c>
      <c r="G123" s="28">
        <f>INDEX(Data_Svensson!$D$4:$D$202,MATCH($A123,Data_Svensson!$A$4:$A$202,1))</f>
        <v>-0.987155</v>
      </c>
      <c r="H123" s="28">
        <f>INDEX(Data_Svensson!$E$4:$E$202,MATCH($A123,Data_Svensson!$A$4:$A$202,1))</f>
        <v>7.3734979999999997</v>
      </c>
      <c r="I123" s="28">
        <f>INDEX(Data_Svensson!$F$4:$F$202,MATCH($A123,Data_Svensson!$A$4:$A$202,1))</f>
        <v>2.9668139999999998</v>
      </c>
      <c r="J123" s="28">
        <f>INDEX(Data_Svensson!$G$4:$G$202,MATCH($A123,Data_Svensson!$A$4:$A$202,1))</f>
        <v>15.630462</v>
      </c>
      <c r="K123" s="28">
        <f t="shared" si="64"/>
        <v>0.8091710017408893</v>
      </c>
      <c r="L123" s="28">
        <f t="shared" si="65"/>
        <v>0.16485479672914372</v>
      </c>
      <c r="M123" s="28">
        <f t="shared" si="66"/>
        <v>3.9467534058308273E-2</v>
      </c>
      <c r="N123" s="29">
        <f t="shared" si="67"/>
        <v>1.954301008629555E-2</v>
      </c>
      <c r="O123" s="29">
        <f t="shared" si="68"/>
        <v>1.354301008629555E-2</v>
      </c>
      <c r="P123" s="28">
        <f t="shared" si="69"/>
        <v>0.44879663759637084</v>
      </c>
      <c r="Q123" s="28">
        <f t="shared" si="70"/>
        <v>-0.41231403190505894</v>
      </c>
      <c r="R123" s="28">
        <f t="shared" si="71"/>
        <v>-0.16888866014397053</v>
      </c>
      <c r="S123" s="28">
        <f t="shared" si="72"/>
        <v>1.2668551989043257</v>
      </c>
      <c r="T123" s="28">
        <f t="shared" si="73"/>
        <v>-2.1750960850654675</v>
      </c>
      <c r="U123" s="28">
        <f t="shared" si="74"/>
        <v>-0.73935222601717054</v>
      </c>
      <c r="V123" s="28">
        <f t="shared" si="75"/>
        <v>499.70893987629336</v>
      </c>
      <c r="W123" s="28">
        <f t="shared" si="76"/>
        <v>235.24780884201178</v>
      </c>
      <c r="X123" s="28">
        <f t="shared" si="77"/>
        <v>-1.9755597432602219</v>
      </c>
      <c r="Y123" s="28">
        <f t="shared" si="78"/>
        <v>110.46966255672672</v>
      </c>
      <c r="Z123" s="28">
        <f t="shared" si="79"/>
        <v>152.01590873429464</v>
      </c>
      <c r="AA123" s="28">
        <f t="shared" si="80"/>
        <v>1449.9626709853951</v>
      </c>
      <c r="AB123" s="32">
        <f t="shared" si="81"/>
        <v>1601.9785797196898</v>
      </c>
      <c r="AC123" s="22">
        <f>INDEX(Data_Cert!$E$4:$E$195,MATCH($A123,Data_Cert!$A$4:$A$195,0))</f>
        <v>1628.7</v>
      </c>
      <c r="AD123" s="22">
        <f t="shared" si="82"/>
        <v>-26.721420280310213</v>
      </c>
      <c r="AE123" s="23">
        <f t="shared" si="83"/>
        <v>-1.6406594388352805E-2</v>
      </c>
      <c r="AF123" s="36">
        <f>Data_Stock!D123</f>
        <v>1619.28</v>
      </c>
    </row>
    <row r="124" spans="1:32" x14ac:dyDescent="0.2">
      <c r="A124" s="35">
        <f>Data_Stock!A124</f>
        <v>46083</v>
      </c>
      <c r="B124" s="36">
        <f>Data_Stock!B124</f>
        <v>1611.39</v>
      </c>
      <c r="C124" s="37">
        <f>Data_Stock!C124</f>
        <v>0.39100000000000001</v>
      </c>
      <c r="D124" s="38">
        <f t="shared" si="63"/>
        <v>1.295890410958904</v>
      </c>
      <c r="E124" s="28">
        <f>INDEX(Data_Svensson!$B$4:$B$202,MATCH($A124,Data_Svensson!$A$4:$A$202,1))</f>
        <v>1.1973149999999999</v>
      </c>
      <c r="F124" s="28">
        <f>INDEX(Data_Svensson!$C$4:$C$202,MATCH($A124,Data_Svensson!$A$4:$A$202,1))</f>
        <v>0.79393999999999998</v>
      </c>
      <c r="G124" s="28">
        <f>INDEX(Data_Svensson!$D$4:$D$202,MATCH($A124,Data_Svensson!$A$4:$A$202,1))</f>
        <v>-0.95907900000000001</v>
      </c>
      <c r="H124" s="28">
        <f>INDEX(Data_Svensson!$E$4:$E$202,MATCH($A124,Data_Svensson!$A$4:$A$202,1))</f>
        <v>7.4280150000000003</v>
      </c>
      <c r="I124" s="28">
        <f>INDEX(Data_Svensson!$F$4:$F$202,MATCH($A124,Data_Svensson!$A$4:$A$202,1))</f>
        <v>3.2725770000000001</v>
      </c>
      <c r="J124" s="28">
        <f>INDEX(Data_Svensson!$G$4:$G$202,MATCH($A124,Data_Svensson!$A$4:$A$202,1))</f>
        <v>15.635873999999999</v>
      </c>
      <c r="K124" s="28">
        <f t="shared" si="64"/>
        <v>0.82574656918991229</v>
      </c>
      <c r="L124" s="28">
        <f t="shared" si="65"/>
        <v>0.15272957398870557</v>
      </c>
      <c r="M124" s="28">
        <f t="shared" si="66"/>
        <v>3.9219609973951575E-2</v>
      </c>
      <c r="N124" s="29">
        <f t="shared" si="67"/>
        <v>1.9977523552317869E-2</v>
      </c>
      <c r="O124" s="29">
        <f t="shared" si="68"/>
        <v>1.3977523552317869E-2</v>
      </c>
      <c r="P124" s="28">
        <f t="shared" si="69"/>
        <v>0.4451033834041348</v>
      </c>
      <c r="Q124" s="28">
        <f t="shared" si="70"/>
        <v>-0.40857252665590971</v>
      </c>
      <c r="R124" s="28">
        <f t="shared" si="71"/>
        <v>-0.22214652592957473</v>
      </c>
      <c r="S124" s="28">
        <f t="shared" si="72"/>
        <v>1.2255104463955822</v>
      </c>
      <c r="T124" s="28">
        <f t="shared" si="73"/>
        <v>-2.1466746798735121</v>
      </c>
      <c r="U124" s="28">
        <f t="shared" si="74"/>
        <v>-0.69901770754835535</v>
      </c>
      <c r="V124" s="28">
        <f t="shared" si="75"/>
        <v>517.17167599673985</v>
      </c>
      <c r="W124" s="28">
        <f t="shared" si="76"/>
        <v>247.84419376107451</v>
      </c>
      <c r="X124" s="28">
        <f t="shared" si="77"/>
        <v>-2.1240223834828669</v>
      </c>
      <c r="Y124" s="28">
        <f t="shared" si="78"/>
        <v>115.8554797622372</v>
      </c>
      <c r="Z124" s="28">
        <f t="shared" si="79"/>
        <v>151.34798008994531</v>
      </c>
      <c r="AA124" s="28">
        <f t="shared" si="80"/>
        <v>1431.7154389089978</v>
      </c>
      <c r="AB124" s="32">
        <f t="shared" si="81"/>
        <v>1583.0634189989432</v>
      </c>
      <c r="AC124" s="22">
        <f>INDEX(Data_Cert!$E$4:$E$195,MATCH($A124,Data_Cert!$A$4:$A$195,0))</f>
        <v>1616.57</v>
      </c>
      <c r="AD124" s="22">
        <f t="shared" si="82"/>
        <v>-33.506581001056702</v>
      </c>
      <c r="AE124" s="23">
        <f t="shared" si="83"/>
        <v>-2.072695955081234E-2</v>
      </c>
      <c r="AF124" s="36">
        <f>Data_Stock!D124</f>
        <v>1590.41</v>
      </c>
    </row>
    <row r="125" spans="1:32" x14ac:dyDescent="0.2">
      <c r="A125" s="35">
        <f>Data_Stock!A125</f>
        <v>46084</v>
      </c>
      <c r="B125" s="36">
        <f>Data_Stock!B125</f>
        <v>1564.36</v>
      </c>
      <c r="C125" s="37">
        <f>Data_Stock!C125</f>
        <v>0.39600000000000002</v>
      </c>
      <c r="D125" s="38">
        <f t="shared" si="63"/>
        <v>1.2931506849315069</v>
      </c>
      <c r="E125" s="28">
        <f>INDEX(Data_Svensson!$B$4:$B$202,MATCH($A125,Data_Svensson!$A$4:$A$202,1))</f>
        <v>1.220828</v>
      </c>
      <c r="F125" s="28">
        <f>INDEX(Data_Svensson!$C$4:$C$202,MATCH($A125,Data_Svensson!$A$4:$A$202,1))</f>
        <v>0.78517199999999998</v>
      </c>
      <c r="G125" s="28">
        <f>INDEX(Data_Svensson!$D$4:$D$202,MATCH($A125,Data_Svensson!$A$4:$A$202,1))</f>
        <v>-0.76843099999999998</v>
      </c>
      <c r="H125" s="28">
        <f>INDEX(Data_Svensson!$E$4:$E$202,MATCH($A125,Data_Svensson!$A$4:$A$202,1))</f>
        <v>7.426539</v>
      </c>
      <c r="I125" s="28">
        <f>INDEX(Data_Svensson!$F$4:$F$202,MATCH($A125,Data_Svensson!$A$4:$A$202,1))</f>
        <v>4.1237510000000004</v>
      </c>
      <c r="J125" s="28">
        <f>INDEX(Data_Svensson!$G$4:$G$202,MATCH($A125,Data_Svensson!$A$4:$A$202,1))</f>
        <v>16.029333000000001</v>
      </c>
      <c r="K125" s="28">
        <f t="shared" si="64"/>
        <v>0.85838803753305193</v>
      </c>
      <c r="L125" s="28">
        <f t="shared" si="65"/>
        <v>0.12756653028707077</v>
      </c>
      <c r="M125" s="28">
        <f t="shared" si="66"/>
        <v>3.823181899919692E-2</v>
      </c>
      <c r="N125" s="29">
        <f t="shared" si="67"/>
        <v>2.0807142706093545E-2</v>
      </c>
      <c r="O125" s="29">
        <f t="shared" si="68"/>
        <v>1.4807142706093545E-2</v>
      </c>
      <c r="P125" s="28">
        <f t="shared" si="69"/>
        <v>0.45031846265528491</v>
      </c>
      <c r="Q125" s="28">
        <f t="shared" si="70"/>
        <v>-0.4055763269940979</v>
      </c>
      <c r="R125" s="28">
        <f t="shared" si="71"/>
        <v>-0.27786815473127369</v>
      </c>
      <c r="S125" s="28">
        <f t="shared" si="72"/>
        <v>1.1530236914326339</v>
      </c>
      <c r="T125" s="28">
        <f t="shared" si="73"/>
        <v>-2.0485556284086903</v>
      </c>
      <c r="U125" s="28">
        <f t="shared" si="74"/>
        <v>-0.61766378224478247</v>
      </c>
      <c r="V125" s="28">
        <f t="shared" si="75"/>
        <v>546.76929483810125</v>
      </c>
      <c r="W125" s="28">
        <f t="shared" si="76"/>
        <v>276.25655053198045</v>
      </c>
      <c r="X125" s="28">
        <f t="shared" si="77"/>
        <v>-2.8119376921212513</v>
      </c>
      <c r="Y125" s="28">
        <f t="shared" si="78"/>
        <v>124.71333487574589</v>
      </c>
      <c r="Z125" s="28">
        <f t="shared" si="79"/>
        <v>142.98747173825365</v>
      </c>
      <c r="AA125" s="28">
        <f t="shared" si="80"/>
        <v>1400.1346879692173</v>
      </c>
      <c r="AB125" s="32">
        <f t="shared" si="81"/>
        <v>1543.1221597074709</v>
      </c>
      <c r="AC125" s="22">
        <f>INDEX(Data_Cert!$E$4:$E$195,MATCH($A125,Data_Cert!$A$4:$A$195,0))</f>
        <v>1581.01</v>
      </c>
      <c r="AD125" s="22">
        <f t="shared" si="82"/>
        <v>-37.887840292529063</v>
      </c>
      <c r="AE125" s="23">
        <f t="shared" si="83"/>
        <v>-2.3964326786376468E-2</v>
      </c>
      <c r="AF125" s="36">
        <f>Data_Stock!D125</f>
        <v>1553.83</v>
      </c>
    </row>
    <row r="126" spans="1:32" x14ac:dyDescent="0.2">
      <c r="A126" s="35">
        <f>Data_Stock!A126</f>
        <v>46085</v>
      </c>
      <c r="B126" s="36">
        <f>Data_Stock!B126</f>
        <v>1622.28</v>
      </c>
      <c r="C126" s="37">
        <f>Data_Stock!C126</f>
        <v>0.40899999999999997</v>
      </c>
      <c r="D126" s="38">
        <f t="shared" si="63"/>
        <v>1.2904109589041095</v>
      </c>
      <c r="E126" s="28">
        <f>INDEX(Data_Svensson!$B$4:$B$202,MATCH($A126,Data_Svensson!$A$4:$A$202,1))</f>
        <v>1.221678</v>
      </c>
      <c r="F126" s="28">
        <f>INDEX(Data_Svensson!$C$4:$C$202,MATCH($A126,Data_Svensson!$A$4:$A$202,1))</f>
        <v>0.78424400000000005</v>
      </c>
      <c r="G126" s="28">
        <f>INDEX(Data_Svensson!$D$4:$D$202,MATCH($A126,Data_Svensson!$A$4:$A$202,1))</f>
        <v>-0.88233700000000004</v>
      </c>
      <c r="H126" s="28">
        <f>INDEX(Data_Svensson!$E$4:$E$202,MATCH($A126,Data_Svensson!$A$4:$A$202,1))</f>
        <v>7.4641270000000004</v>
      </c>
      <c r="I126" s="28">
        <f>INDEX(Data_Svensson!$F$4:$F$202,MATCH($A126,Data_Svensson!$A$4:$A$202,1))</f>
        <v>3.7595559999999999</v>
      </c>
      <c r="J126" s="28">
        <f>INDEX(Data_Svensson!$G$4:$G$202,MATCH($A126,Data_Svensson!$A$4:$A$202,1))</f>
        <v>15.776643999999999</v>
      </c>
      <c r="K126" s="28">
        <f t="shared" si="64"/>
        <v>0.8464420666402398</v>
      </c>
      <c r="L126" s="28">
        <f t="shared" si="65"/>
        <v>0.13697055427814386</v>
      </c>
      <c r="M126" s="28">
        <f t="shared" si="66"/>
        <v>3.873317240378038E-2</v>
      </c>
      <c r="N126" s="29">
        <f t="shared" si="67"/>
        <v>2.053750242094806E-2</v>
      </c>
      <c r="O126" s="29">
        <f t="shared" si="68"/>
        <v>1.453750242094806E-2</v>
      </c>
      <c r="P126" s="28">
        <f t="shared" si="69"/>
        <v>0.46460869085332268</v>
      </c>
      <c r="Q126" s="28">
        <f t="shared" si="70"/>
        <v>-0.41309531613902317</v>
      </c>
      <c r="R126" s="28">
        <f t="shared" si="71"/>
        <v>-0.1778370589209386</v>
      </c>
      <c r="S126" s="28">
        <f t="shared" si="72"/>
        <v>1.209044050011949</v>
      </c>
      <c r="T126" s="28">
        <f t="shared" si="73"/>
        <v>-2.0505631252961734</v>
      </c>
      <c r="U126" s="28">
        <f t="shared" si="74"/>
        <v>-0.66368201636328561</v>
      </c>
      <c r="V126" s="28">
        <f t="shared" si="75"/>
        <v>522.23130247108713</v>
      </c>
      <c r="W126" s="28">
        <f t="shared" si="76"/>
        <v>262.24731632956684</v>
      </c>
      <c r="X126" s="28">
        <f t="shared" si="77"/>
        <v>-2.8725209248637817</v>
      </c>
      <c r="Y126" s="28">
        <f t="shared" si="78"/>
        <v>116.75574139819261</v>
      </c>
      <c r="Z126" s="28">
        <f t="shared" si="79"/>
        <v>140.35572381846387</v>
      </c>
      <c r="AA126" s="28">
        <f t="shared" si="80"/>
        <v>1425.4612439167618</v>
      </c>
      <c r="AB126" s="32">
        <f t="shared" si="81"/>
        <v>1565.8169677352257</v>
      </c>
      <c r="AC126" s="22">
        <f>INDEX(Data_Cert!$E$4:$E$195,MATCH($A126,Data_Cert!$A$4:$A$195,0))</f>
        <v>1609.58</v>
      </c>
      <c r="AD126" s="22">
        <f t="shared" si="82"/>
        <v>-43.76303226477421</v>
      </c>
      <c r="AE126" s="23">
        <f t="shared" si="83"/>
        <v>-2.7189100426679141E-2</v>
      </c>
      <c r="AF126" s="36">
        <f>Data_Stock!D126</f>
        <v>1580.91</v>
      </c>
    </row>
    <row r="127" spans="1:32" x14ac:dyDescent="0.2">
      <c r="A127" s="35">
        <f>Data_Stock!A127</f>
        <v>46086</v>
      </c>
      <c r="B127" s="36">
        <f>Data_Stock!B127</f>
        <v>1531.69</v>
      </c>
      <c r="C127" s="37">
        <f>Data_Stock!C127</f>
        <v>0.45500000000000002</v>
      </c>
      <c r="D127" s="38">
        <f t="shared" si="63"/>
        <v>1.2876712328767124</v>
      </c>
      <c r="E127" s="28">
        <f>INDEX(Data_Svensson!$B$4:$B$202,MATCH($A127,Data_Svensson!$A$4:$A$202,1))</f>
        <v>1.230734</v>
      </c>
      <c r="F127" s="28">
        <f>INDEX(Data_Svensson!$C$4:$C$202,MATCH($A127,Data_Svensson!$A$4:$A$202,1))</f>
        <v>0.79805099999999995</v>
      </c>
      <c r="G127" s="28">
        <f>INDEX(Data_Svensson!$D$4:$D$202,MATCH($A127,Data_Svensson!$A$4:$A$202,1))</f>
        <v>-1.1716569999999999</v>
      </c>
      <c r="H127" s="28">
        <f>INDEX(Data_Svensson!$E$4:$E$202,MATCH($A127,Data_Svensson!$A$4:$A$202,1))</f>
        <v>7.637499</v>
      </c>
      <c r="I127" s="28">
        <f>INDEX(Data_Svensson!$F$4:$F$202,MATCH($A127,Data_Svensson!$A$4:$A$202,1))</f>
        <v>4.7506579999999996</v>
      </c>
      <c r="J127" s="28">
        <f>INDEX(Data_Svensson!$G$4:$G$202,MATCH($A127,Data_Svensson!$A$4:$A$202,1))</f>
        <v>14.768777999999999</v>
      </c>
      <c r="K127" s="28">
        <f t="shared" si="64"/>
        <v>0.87593250340583917</v>
      </c>
      <c r="L127" s="28">
        <f t="shared" si="65"/>
        <v>0.11335500078986094</v>
      </c>
      <c r="M127" s="28">
        <f t="shared" si="66"/>
        <v>4.1141371788624537E-2</v>
      </c>
      <c r="N127" s="29">
        <f t="shared" si="67"/>
        <v>2.1111768160093351E-2</v>
      </c>
      <c r="O127" s="29">
        <f t="shared" si="68"/>
        <v>1.5111768160093351E-2</v>
      </c>
      <c r="P127" s="28">
        <f t="shared" si="69"/>
        <v>0.51631399069393946</v>
      </c>
      <c r="Q127" s="28">
        <f t="shared" si="70"/>
        <v>-0.42700510489026278</v>
      </c>
      <c r="R127" s="28">
        <f t="shared" si="71"/>
        <v>-0.22084705045942071</v>
      </c>
      <c r="S127" s="28">
        <f t="shared" si="72"/>
        <v>1.0271474412731794</v>
      </c>
      <c r="T127" s="28">
        <f t="shared" si="73"/>
        <v>-1.6834513711230514</v>
      </c>
      <c r="U127" s="28">
        <f t="shared" si="74"/>
        <v>-0.43545687939045202</v>
      </c>
      <c r="V127" s="28">
        <f t="shared" si="75"/>
        <v>604.92054464244404</v>
      </c>
      <c r="W127" s="28">
        <f t="shared" si="76"/>
        <v>361.83063779421661</v>
      </c>
      <c r="X127" s="28">
        <f t="shared" si="77"/>
        <v>-8.1189189779857358</v>
      </c>
      <c r="Y127" s="28">
        <f t="shared" si="78"/>
        <v>131.43190435224324</v>
      </c>
      <c r="Z127" s="28">
        <f t="shared" si="79"/>
        <v>103.53908351799845</v>
      </c>
      <c r="AA127" s="28">
        <f t="shared" si="80"/>
        <v>1341.4417958751642</v>
      </c>
      <c r="AB127" s="32">
        <f t="shared" si="81"/>
        <v>1444.9808793931627</v>
      </c>
      <c r="AC127" s="22">
        <f>INDEX(Data_Cert!$E$4:$E$195,MATCH($A127,Data_Cert!$A$4:$A$195,0))</f>
        <v>1552.67</v>
      </c>
      <c r="AD127" s="22">
        <f t="shared" si="82"/>
        <v>-107.68912060683738</v>
      </c>
      <c r="AE127" s="23">
        <f t="shared" si="83"/>
        <v>-6.9357378326906152E-2</v>
      </c>
      <c r="AF127" s="36">
        <f>Data_Stock!D127</f>
        <v>1458.82</v>
      </c>
    </row>
    <row r="128" spans="1:32" x14ac:dyDescent="0.2">
      <c r="A128" s="35">
        <f>Data_Stock!A128</f>
        <v>46087</v>
      </c>
      <c r="B128" s="36">
        <f>Data_Stock!B128</f>
        <v>1576.74</v>
      </c>
      <c r="C128" s="37">
        <f>Data_Stock!C128</f>
        <v>0.45600000000000002</v>
      </c>
      <c r="D128" s="38">
        <f t="shared" si="63"/>
        <v>1.284931506849315</v>
      </c>
      <c r="E128" s="28">
        <f>INDEX(Data_Svensson!$B$4:$B$202,MATCH($A128,Data_Svensson!$A$4:$A$202,1))</f>
        <v>1.23451</v>
      </c>
      <c r="F128" s="28">
        <f>INDEX(Data_Svensson!$C$4:$C$202,MATCH($A128,Data_Svensson!$A$4:$A$202,1))</f>
        <v>0.80760600000000005</v>
      </c>
      <c r="G128" s="28">
        <f>INDEX(Data_Svensson!$D$4:$D$202,MATCH($A128,Data_Svensson!$A$4:$A$202,1))</f>
        <v>-0.68640500000000004</v>
      </c>
      <c r="H128" s="28">
        <f>INDEX(Data_Svensson!$E$4:$E$202,MATCH($A128,Data_Svensson!$A$4:$A$202,1))</f>
        <v>7.2481109999999997</v>
      </c>
      <c r="I128" s="28">
        <f>INDEX(Data_Svensson!$F$4:$F$202,MATCH($A128,Data_Svensson!$A$4:$A$202,1))</f>
        <v>5.1843060000000003</v>
      </c>
      <c r="J128" s="28">
        <f>INDEX(Data_Svensson!$G$4:$G$202,MATCH($A128,Data_Svensson!$A$4:$A$202,1))</f>
        <v>15.810634</v>
      </c>
      <c r="K128" s="28">
        <f t="shared" si="64"/>
        <v>0.88570897025965789</v>
      </c>
      <c r="L128" s="28">
        <f t="shared" si="65"/>
        <v>0.10523215461368662</v>
      </c>
      <c r="M128" s="28">
        <f t="shared" si="66"/>
        <v>3.8499098840598545E-2</v>
      </c>
      <c r="N128" s="29">
        <f t="shared" si="67"/>
        <v>2.1566277433445434E-2</v>
      </c>
      <c r="O128" s="29">
        <f t="shared" si="68"/>
        <v>1.5566277433445434E-2</v>
      </c>
      <c r="P128" s="28">
        <f t="shared" si="69"/>
        <v>0.51689797620828348</v>
      </c>
      <c r="Q128" s="28">
        <f t="shared" si="70"/>
        <v>-0.4251390935987735</v>
      </c>
      <c r="R128" s="28">
        <f t="shared" si="71"/>
        <v>-0.16288397484712042</v>
      </c>
      <c r="S128" s="28">
        <f t="shared" si="72"/>
        <v>1.0837005467584939</v>
      </c>
      <c r="T128" s="28">
        <f t="shared" si="73"/>
        <v>-1.7359961901240015</v>
      </c>
      <c r="U128" s="28">
        <f t="shared" si="74"/>
        <v>-0.48941166851838719</v>
      </c>
      <c r="V128" s="28">
        <f t="shared" si="75"/>
        <v>578.7302559294908</v>
      </c>
      <c r="W128" s="28">
        <f t="shared" si="76"/>
        <v>337.37366237514834</v>
      </c>
      <c r="X128" s="28">
        <f t="shared" si="77"/>
        <v>-7.1233432430889323</v>
      </c>
      <c r="Y128" s="28">
        <f t="shared" si="78"/>
        <v>125.75903465547538</v>
      </c>
      <c r="Z128" s="28">
        <f t="shared" si="79"/>
        <v>108.47421565577815</v>
      </c>
      <c r="AA128" s="28">
        <f t="shared" si="80"/>
        <v>1366.6082310029644</v>
      </c>
      <c r="AB128" s="32">
        <f t="shared" si="81"/>
        <v>1475.0824466587426</v>
      </c>
      <c r="AC128" s="22">
        <f>INDEX(Data_Cert!$E$4:$E$195,MATCH($A128,Data_Cert!$A$4:$A$195,0))</f>
        <v>1574.43</v>
      </c>
      <c r="AD128" s="22">
        <f t="shared" si="82"/>
        <v>-99.34755334125748</v>
      </c>
      <c r="AE128" s="23">
        <f t="shared" si="83"/>
        <v>-6.3100648070258739E-2</v>
      </c>
      <c r="AF128" s="36">
        <f>Data_Stock!D128</f>
        <v>1492.89</v>
      </c>
    </row>
    <row r="129" spans="1:32" x14ac:dyDescent="0.2">
      <c r="A129" s="35">
        <f>Data_Stock!A129</f>
        <v>46090</v>
      </c>
      <c r="B129" s="36">
        <f>Data_Stock!B129</f>
        <v>1608.92</v>
      </c>
      <c r="C129" s="37">
        <f>Data_Stock!C129</f>
        <v>0.44900000000000001</v>
      </c>
      <c r="D129" s="38">
        <f t="shared" si="63"/>
        <v>1.2767123287671234</v>
      </c>
      <c r="E129" s="28">
        <f>INDEX(Data_Svensson!$B$4:$B$202,MATCH($A129,Data_Svensson!$A$4:$A$202,1))</f>
        <v>1.2503359999999999</v>
      </c>
      <c r="F129" s="28">
        <f>INDEX(Data_Svensson!$C$4:$C$202,MATCH($A129,Data_Svensson!$A$4:$A$202,1))</f>
        <v>0.81781400000000004</v>
      </c>
      <c r="G129" s="28">
        <f>INDEX(Data_Svensson!$D$4:$D$202,MATCH($A129,Data_Svensson!$A$4:$A$202,1))</f>
        <v>-1.4056070000000001</v>
      </c>
      <c r="H129" s="28">
        <f>INDEX(Data_Svensson!$E$4:$E$202,MATCH($A129,Data_Svensson!$A$4:$A$202,1))</f>
        <v>7.718966</v>
      </c>
      <c r="I129" s="28">
        <f>INDEX(Data_Svensson!$F$4:$F$202,MATCH($A129,Data_Svensson!$A$4:$A$202,1))</f>
        <v>6.5711019999999998</v>
      </c>
      <c r="J129" s="28">
        <f>INDEX(Data_Svensson!$G$4:$G$202,MATCH($A129,Data_Svensson!$A$4:$A$202,1))</f>
        <v>15.028947000000001</v>
      </c>
      <c r="K129" s="28">
        <f t="shared" si="64"/>
        <v>0.90885147922842535</v>
      </c>
      <c r="L129" s="28">
        <f t="shared" si="65"/>
        <v>8.5434020261750954E-2</v>
      </c>
      <c r="M129" s="28">
        <f t="shared" si="66"/>
        <v>4.0144521121816434E-2</v>
      </c>
      <c r="N129" s="29">
        <f t="shared" si="67"/>
        <v>2.1833950003412393E-2</v>
      </c>
      <c r="O129" s="29">
        <f t="shared" si="68"/>
        <v>1.5833950003412395E-2</v>
      </c>
      <c r="P129" s="28">
        <f t="shared" si="69"/>
        <v>0.50733271350444265</v>
      </c>
      <c r="Q129" s="28">
        <f t="shared" si="70"/>
        <v>-0.42145897092071766</v>
      </c>
      <c r="R129" s="28">
        <f t="shared" si="71"/>
        <v>-0.13536559343131488</v>
      </c>
      <c r="S129" s="28">
        <f t="shared" si="72"/>
        <v>1.134722061550687</v>
      </c>
      <c r="T129" s="28">
        <f t="shared" si="73"/>
        <v>-1.8177841362197986</v>
      </c>
      <c r="U129" s="28">
        <f t="shared" si="74"/>
        <v>-0.54769648123779702</v>
      </c>
      <c r="V129" s="28">
        <f t="shared" si="75"/>
        <v>554.62325526277777</v>
      </c>
      <c r="W129" s="28">
        <f t="shared" si="76"/>
        <v>311.06002947581294</v>
      </c>
      <c r="X129" s="28">
        <f t="shared" si="77"/>
        <v>-5.702261293838145</v>
      </c>
      <c r="Y129" s="28">
        <f t="shared" si="78"/>
        <v>121.61565300143059</v>
      </c>
      <c r="Z129" s="28">
        <f t="shared" si="79"/>
        <v>116.2453114916961</v>
      </c>
      <c r="AA129" s="28">
        <f t="shared" si="80"/>
        <v>1390.395281326143</v>
      </c>
      <c r="AB129" s="32">
        <f t="shared" si="81"/>
        <v>1506.6405928178392</v>
      </c>
      <c r="AC129" s="22">
        <f>INDEX(Data_Cert!$E$4:$E$195,MATCH($A129,Data_Cert!$A$4:$A$195,0))</f>
        <v>1595.58</v>
      </c>
      <c r="AD129" s="22">
        <f t="shared" si="82"/>
        <v>-88.939407182160721</v>
      </c>
      <c r="AE129" s="23">
        <f t="shared" si="83"/>
        <v>-5.5741114317151584E-2</v>
      </c>
      <c r="AF129" s="36">
        <f>Data_Stock!D129</f>
        <v>1507.81</v>
      </c>
    </row>
    <row r="130" spans="1:32" x14ac:dyDescent="0.2">
      <c r="A130" s="35">
        <f>Data_Stock!A130</f>
        <v>46091</v>
      </c>
      <c r="B130" s="36">
        <f>Data_Stock!B130</f>
        <v>1636.64</v>
      </c>
      <c r="C130" s="37">
        <f>Data_Stock!C130</f>
        <v>0.44</v>
      </c>
      <c r="D130" s="38">
        <f t="shared" si="63"/>
        <v>1.273972602739726</v>
      </c>
      <c r="E130" s="28">
        <f>INDEX(Data_Svensson!$B$4:$B$202,MATCH($A130,Data_Svensson!$A$4:$A$202,1))</f>
        <v>1.222278</v>
      </c>
      <c r="F130" s="28">
        <f>INDEX(Data_Svensson!$C$4:$C$202,MATCH($A130,Data_Svensson!$A$4:$A$202,1))</f>
        <v>0.77983800000000003</v>
      </c>
      <c r="G130" s="28">
        <f>INDEX(Data_Svensson!$D$4:$D$202,MATCH($A130,Data_Svensson!$A$4:$A$202,1))</f>
        <v>-1.0783940000000001</v>
      </c>
      <c r="H130" s="28">
        <f>INDEX(Data_Svensson!$E$4:$E$202,MATCH($A130,Data_Svensson!$A$4:$A$202,1))</f>
        <v>7.5959490000000001</v>
      </c>
      <c r="I130" s="28">
        <f>INDEX(Data_Svensson!$F$4:$F$202,MATCH($A130,Data_Svensson!$A$4:$A$202,1))</f>
        <v>5.2428679999999996</v>
      </c>
      <c r="J130" s="28">
        <f>INDEX(Data_Svensson!$G$4:$G$202,MATCH($A130,Data_Svensson!$A$4:$A$202,1))</f>
        <v>14.938851</v>
      </c>
      <c r="K130" s="28">
        <f t="shared" si="64"/>
        <v>0.88777514889604014</v>
      </c>
      <c r="L130" s="28">
        <f t="shared" si="65"/>
        <v>0.10349700515615123</v>
      </c>
      <c r="M130" s="28">
        <f t="shared" si="66"/>
        <v>4.0291192114441987E-2</v>
      </c>
      <c r="N130" s="29">
        <f t="shared" si="67"/>
        <v>2.1090380876369309E-2</v>
      </c>
      <c r="O130" s="29">
        <f t="shared" si="68"/>
        <v>1.5090380876369309E-2</v>
      </c>
      <c r="P130" s="28">
        <f t="shared" si="69"/>
        <v>0.49662973721919934</v>
      </c>
      <c r="Q130" s="28">
        <f t="shared" si="70"/>
        <v>-0.42205381778734857</v>
      </c>
      <c r="R130" s="28">
        <f t="shared" si="71"/>
        <v>-0.1166996994809375</v>
      </c>
      <c r="S130" s="28">
        <f t="shared" si="72"/>
        <v>1.1807598928473224</v>
      </c>
      <c r="T130" s="28">
        <f t="shared" si="73"/>
        <v>-1.9041689639773656</v>
      </c>
      <c r="U130" s="28">
        <f t="shared" si="74"/>
        <v>-0.60670937164910543</v>
      </c>
      <c r="V130" s="28">
        <f t="shared" si="75"/>
        <v>534.09323163332522</v>
      </c>
      <c r="W130" s="28">
        <f t="shared" si="76"/>
        <v>287.7675058431704</v>
      </c>
      <c r="X130" s="28">
        <f t="shared" si="77"/>
        <v>-4.4935754879387346</v>
      </c>
      <c r="Y130" s="28">
        <f t="shared" si="78"/>
        <v>117.63512722391192</v>
      </c>
      <c r="Z130" s="28">
        <f t="shared" si="79"/>
        <v>124.19702307830417</v>
      </c>
      <c r="AA130" s="28">
        <f t="shared" si="80"/>
        <v>1412.8851309931324</v>
      </c>
      <c r="AB130" s="32">
        <f t="shared" si="81"/>
        <v>1537.0821540714367</v>
      </c>
      <c r="AC130" s="22">
        <f>INDEX(Data_Cert!$E$4:$E$195,MATCH($A130,Data_Cert!$A$4:$A$195,0))</f>
        <v>1605.42</v>
      </c>
      <c r="AD130" s="22">
        <f t="shared" si="82"/>
        <v>-68.337845928563411</v>
      </c>
      <c r="AE130" s="23">
        <f t="shared" si="83"/>
        <v>-4.2566958134670929E-2</v>
      </c>
      <c r="AF130" s="36">
        <f>Data_Stock!D130</f>
        <v>1544.74</v>
      </c>
    </row>
    <row r="131" spans="1:32" x14ac:dyDescent="0.2">
      <c r="A131" s="35">
        <f>Data_Stock!A131</f>
        <v>46092</v>
      </c>
      <c r="B131" s="36">
        <f>Data_Stock!B131</f>
        <v>1505.45</v>
      </c>
      <c r="C131" s="37">
        <f>Data_Stock!C131</f>
        <v>0.53600000000000003</v>
      </c>
      <c r="D131" s="38">
        <f t="shared" si="63"/>
        <v>1.2712328767123289</v>
      </c>
      <c r="E131" s="28">
        <f>INDEX(Data_Svensson!$B$4:$B$202,MATCH($A131,Data_Svensson!$A$4:$A$202,1))</f>
        <v>1.1512089999999999</v>
      </c>
      <c r="F131" s="28">
        <f>INDEX(Data_Svensson!$C$4:$C$202,MATCH($A131,Data_Svensson!$A$4:$A$202,1))</f>
        <v>0.69220300000000001</v>
      </c>
      <c r="G131" s="28">
        <f>INDEX(Data_Svensson!$D$4:$D$202,MATCH($A131,Data_Svensson!$A$4:$A$202,1))</f>
        <v>1.423915</v>
      </c>
      <c r="H131" s="28">
        <f>INDEX(Data_Svensson!$E$4:$E$202,MATCH($A131,Data_Svensson!$A$4:$A$202,1))</f>
        <v>7.5509789999999999</v>
      </c>
      <c r="I131" s="28">
        <f>INDEX(Data_Svensson!$F$4:$F$202,MATCH($A131,Data_Svensson!$A$4:$A$202,1))</f>
        <v>0.93882500000000002</v>
      </c>
      <c r="J131" s="28">
        <f>INDEX(Data_Svensson!$G$4:$G$202,MATCH($A131,Data_Svensson!$A$4:$A$202,1))</f>
        <v>15.157408</v>
      </c>
      <c r="K131" s="28">
        <f t="shared" si="64"/>
        <v>0.54783968806276484</v>
      </c>
      <c r="L131" s="28">
        <f t="shared" si="65"/>
        <v>0.28965187098632716</v>
      </c>
      <c r="M131" s="28">
        <f t="shared" si="66"/>
        <v>3.966184012415741E-2</v>
      </c>
      <c r="N131" s="29">
        <f t="shared" si="67"/>
        <v>2.2423506413504758E-2</v>
      </c>
      <c r="O131" s="29">
        <f t="shared" si="68"/>
        <v>1.6423506413504756E-2</v>
      </c>
      <c r="P131" s="28">
        <f t="shared" si="69"/>
        <v>0.60433444428391248</v>
      </c>
      <c r="Q131" s="28">
        <f t="shared" si="70"/>
        <v>-0.44283419743572916</v>
      </c>
      <c r="R131" s="28">
        <f t="shared" si="71"/>
        <v>-0.13331552241272931</v>
      </c>
      <c r="S131" s="28">
        <f t="shared" si="72"/>
        <v>0.93291034388556582</v>
      </c>
      <c r="T131" s="28">
        <f t="shared" si="73"/>
        <v>-1.3257072388505038</v>
      </c>
      <c r="U131" s="28">
        <f t="shared" si="74"/>
        <v>-0.25948137255220838</v>
      </c>
      <c r="V131" s="28">
        <f t="shared" si="75"/>
        <v>669.78452159940082</v>
      </c>
      <c r="W131" s="28">
        <f t="shared" si="76"/>
        <v>459.51138972389657</v>
      </c>
      <c r="X131" s="28">
        <f t="shared" si="77"/>
        <v>-20.78755851535405</v>
      </c>
      <c r="Y131" s="28">
        <f t="shared" si="78"/>
        <v>120.81095033027458</v>
      </c>
      <c r="Z131" s="28">
        <f t="shared" si="79"/>
        <v>68.674623029875619</v>
      </c>
      <c r="AA131" s="28">
        <f t="shared" si="80"/>
        <v>1274.0093785882918</v>
      </c>
      <c r="AB131" s="32">
        <f t="shared" si="81"/>
        <v>1342.6840016181675</v>
      </c>
      <c r="AC131" s="22">
        <f>INDEX(Data_Cert!$E$4:$E$195,MATCH($A131,Data_Cert!$A$4:$A$195,0))</f>
        <v>1548.02</v>
      </c>
      <c r="AD131" s="22">
        <f t="shared" si="82"/>
        <v>-205.3359983818325</v>
      </c>
      <c r="AE131" s="23">
        <f t="shared" si="83"/>
        <v>-0.13264428003632545</v>
      </c>
      <c r="AF131" s="36">
        <f>Data_Stock!D131</f>
        <v>1353.02</v>
      </c>
    </row>
    <row r="132" spans="1:32" x14ac:dyDescent="0.2">
      <c r="A132" s="35">
        <f>Data_Stock!A132</f>
        <v>46093</v>
      </c>
      <c r="B132" s="36">
        <f>Data_Stock!B132</f>
        <v>1535.16</v>
      </c>
      <c r="C132" s="37">
        <f>Data_Stock!C132</f>
        <v>0.52500000000000002</v>
      </c>
      <c r="D132" s="38">
        <f t="shared" ref="D132:D163" si="84">MAX((MaturityDate-A132)/365,1/365)</f>
        <v>1.2684931506849315</v>
      </c>
      <c r="E132" s="28">
        <f>INDEX(Data_Svensson!$B$4:$B$202,MATCH($A132,Data_Svensson!$A$4:$A$202,1))</f>
        <v>1.150576</v>
      </c>
      <c r="F132" s="28">
        <f>INDEX(Data_Svensson!$C$4:$C$202,MATCH($A132,Data_Svensson!$A$4:$A$202,1))</f>
        <v>0.67345500000000003</v>
      </c>
      <c r="G132" s="28">
        <f>INDEX(Data_Svensson!$D$4:$D$202,MATCH($A132,Data_Svensson!$A$4:$A$202,1))</f>
        <v>1.635316</v>
      </c>
      <c r="H132" s="28">
        <f>INDEX(Data_Svensson!$E$4:$E$202,MATCH($A132,Data_Svensson!$A$4:$A$202,1))</f>
        <v>7.5886880000000003</v>
      </c>
      <c r="I132" s="28">
        <f>INDEX(Data_Svensson!$F$4:$F$202,MATCH($A132,Data_Svensson!$A$4:$A$202,1))</f>
        <v>0.857155</v>
      </c>
      <c r="J132" s="28">
        <f>INDEX(Data_Svensson!$G$4:$G$202,MATCH($A132,Data_Svensson!$A$4:$A$202,1))</f>
        <v>14.89086</v>
      </c>
      <c r="K132" s="28">
        <f t="shared" ref="K132:K163" si="85">(1-EXP(-D132/I132))/(D132/I132)</f>
        <v>0.52188875095947562</v>
      </c>
      <c r="L132" s="28">
        <f t="shared" ref="L132:L163" si="86">K132-EXP(-D132/I132)</f>
        <v>0.29422549986907631</v>
      </c>
      <c r="M132" s="28">
        <f t="shared" ref="M132:M163" si="87">(1-EXP(-D132/J132))/(D132/J132)-EXP(-D132/J132)</f>
        <v>4.0249671709043033E-2</v>
      </c>
      <c r="N132" s="29">
        <f t="shared" ref="N132:N163" si="88">(E132+F132*K132+G132*L132+H132*M132)/100</f>
        <v>2.2886384570236666E-2</v>
      </c>
      <c r="O132" s="29">
        <f t="shared" ref="O132:O163" si="89">N132-q</f>
        <v>1.6886384570236668E-2</v>
      </c>
      <c r="P132" s="28">
        <f t="shared" ref="P132:P163" si="90">C132*SQRT(D132)</f>
        <v>0.59129385643479693</v>
      </c>
      <c r="Q132" s="28">
        <f t="shared" ref="Q132:Q163" si="91">(O132-0.5*C132^2)/C132^2</f>
        <v>-0.43873420564086468</v>
      </c>
      <c r="R132" s="28">
        <f t="shared" ref="R132:R163" si="92">LN(B132/Cap)/P132+(1+Q132)*P132</f>
        <v>-0.11547235640308651</v>
      </c>
      <c r="S132" s="28">
        <f t="shared" ref="S132:S163" si="93">LN(B132/Barrier)/P132+(1+Q132)*P132</f>
        <v>0.97426840342090415</v>
      </c>
      <c r="T132" s="28">
        <f t="shared" ref="T132:T163" si="94">LN(Barrier^2/(B132*Cap))/P132+(1+Q132)*P132</f>
        <v>-1.4002631311817892</v>
      </c>
      <c r="U132" s="28">
        <f t="shared" ref="U132:U163" si="95">LN(Barrier/B132)/P132+(1+Q132)*P132</f>
        <v>-0.31052237135779875</v>
      </c>
      <c r="V132" s="28">
        <f t="shared" ref="V132:V163" si="96">-B132*EXP((O132-N132)*D132)*NORMSDIST(-R132)+Cap*EXP(-N132*D132)*NORMSDIST(-R132+P132)</f>
        <v>644.99869356684076</v>
      </c>
      <c r="W132" s="28">
        <f t="shared" ref="W132:W163" si="97">-B132*EXP((O132-N132)*D132)*NORMSDIST(-S132)+Cap*EXP(-N132*D132)*NORMSDIST(-S132+P132)</f>
        <v>430.33676641724344</v>
      </c>
      <c r="X132" s="28">
        <f t="shared" ref="X132:X163" si="98">-B132*EXP((O132-N132)*D132)*(Barrier/B132)^(2*(Q132+1))*NORMSDIST(T132)+Cap*EXP(-N132*D132)*(Barrier/B132)^(2*Q132)*NORMSDIST(T132-P132)</f>
        <v>-17.357310372101615</v>
      </c>
      <c r="Y132" s="28">
        <f t="shared" ref="Y132:Y163" si="99">-B132*EXP((O132-N132)*D132)*(Barrier/B132)^(2*(Q132+1))*NORMSDIST(U132)+Cap*EXP(-N132*D132)*(Barrier/B132)^(2*Q132)*NORMSDIST(U132-P132)</f>
        <v>121.66826601971343</v>
      </c>
      <c r="Z132" s="28">
        <f t="shared" ref="Z132:Z163" si="100">IF(B132&lt;=Barrier,0,V132-W132+X132-Y132)</f>
        <v>75.636350757782282</v>
      </c>
      <c r="AA132" s="28">
        <f t="shared" ref="AA132:AA163" si="101">Cap*EXP(-N132*D132)-V132</f>
        <v>1297.7735770451081</v>
      </c>
      <c r="AB132" s="32">
        <f t="shared" ref="AB132:AB163" si="102">AA132+Z132</f>
        <v>1373.4099278028905</v>
      </c>
      <c r="AC132" s="22">
        <f>INDEX(Data_Cert!$E$4:$E$195,MATCH($A132,Data_Cert!$A$4:$A$195,0))</f>
        <v>1559.15</v>
      </c>
      <c r="AD132" s="22">
        <f t="shared" ref="AD132:AD163" si="103">AB132-AC132</f>
        <v>-185.74007219710961</v>
      </c>
      <c r="AE132" s="23">
        <f t="shared" ref="AE132:AE163" si="104">AD132/AC132</f>
        <v>-0.11912905890844987</v>
      </c>
      <c r="AF132" s="36">
        <f>Data_Stock!D132</f>
        <v>1389.82</v>
      </c>
    </row>
    <row r="133" spans="1:32" x14ac:dyDescent="0.2">
      <c r="A133" s="35">
        <f>Data_Stock!A133</f>
        <v>46094</v>
      </c>
      <c r="B133" s="36">
        <f>Data_Stock!B133</f>
        <v>1576.74</v>
      </c>
      <c r="C133" s="37">
        <f>Data_Stock!C133</f>
        <v>0.52</v>
      </c>
      <c r="D133" s="38">
        <f t="shared" si="84"/>
        <v>1.2657534246575342</v>
      </c>
      <c r="E133" s="28">
        <f>INDEX(Data_Svensson!$B$4:$B$202,MATCH($A133,Data_Svensson!$A$4:$A$202,1))</f>
        <v>1.169862</v>
      </c>
      <c r="F133" s="28">
        <f>INDEX(Data_Svensson!$C$4:$C$202,MATCH($A133,Data_Svensson!$A$4:$A$202,1))</f>
        <v>0.67766599999999999</v>
      </c>
      <c r="G133" s="28">
        <f>INDEX(Data_Svensson!$D$4:$D$202,MATCH($A133,Data_Svensson!$A$4:$A$202,1))</f>
        <v>1.5553939999999999</v>
      </c>
      <c r="H133" s="28">
        <f>INDEX(Data_Svensson!$E$4:$E$202,MATCH($A133,Data_Svensson!$A$4:$A$202,1))</f>
        <v>7.5667540000000004</v>
      </c>
      <c r="I133" s="28">
        <f>INDEX(Data_Svensson!$F$4:$F$202,MATCH($A133,Data_Svensson!$A$4:$A$202,1))</f>
        <v>0.914655</v>
      </c>
      <c r="J133" s="28">
        <f>INDEX(Data_Svensson!$G$4:$G$202,MATCH($A133,Data_Svensson!$A$4:$A$202,1))</f>
        <v>15.009998</v>
      </c>
      <c r="K133" s="28">
        <f t="shared" si="85"/>
        <v>0.54152226402418946</v>
      </c>
      <c r="L133" s="28">
        <f t="shared" si="86"/>
        <v>0.29091264642730241</v>
      </c>
      <c r="M133" s="28">
        <f t="shared" si="87"/>
        <v>3.9866610902284716E-2</v>
      </c>
      <c r="N133" s="29">
        <f t="shared" si="88"/>
        <v>2.2909778488606706E-2</v>
      </c>
      <c r="O133" s="29">
        <f t="shared" si="89"/>
        <v>1.6909778488606704E-2</v>
      </c>
      <c r="P133" s="28">
        <f t="shared" si="90"/>
        <v>0.58502967961240848</v>
      </c>
      <c r="Q133" s="28">
        <f t="shared" si="91"/>
        <v>-0.43746383695041902</v>
      </c>
      <c r="R133" s="28">
        <f t="shared" si="92"/>
        <v>-7.7353824445398067E-2</v>
      </c>
      <c r="S133" s="28">
        <f t="shared" si="93"/>
        <v>1.0240552815292083</v>
      </c>
      <c r="T133" s="28">
        <f t="shared" si="94"/>
        <v>-1.4672636850252352</v>
      </c>
      <c r="U133" s="28">
        <f t="shared" si="95"/>
        <v>-0.36585457905062857</v>
      </c>
      <c r="V133" s="28">
        <f t="shared" si="96"/>
        <v>618.97587556759515</v>
      </c>
      <c r="W133" s="28">
        <f t="shared" si="97"/>
        <v>402.49393569415048</v>
      </c>
      <c r="X133" s="28">
        <f t="shared" si="98"/>
        <v>-14.816239068296184</v>
      </c>
      <c r="Y133" s="28">
        <f t="shared" si="99"/>
        <v>119.88225609266345</v>
      </c>
      <c r="Z133" s="28">
        <f t="shared" si="100"/>
        <v>81.78344471248505</v>
      </c>
      <c r="AA133" s="28">
        <f t="shared" si="101"/>
        <v>1323.8606853395499</v>
      </c>
      <c r="AB133" s="32">
        <f t="shared" si="102"/>
        <v>1405.6441300520351</v>
      </c>
      <c r="AC133" s="22">
        <f>INDEX(Data_Cert!$E$4:$E$195,MATCH($A133,Data_Cert!$A$4:$A$195,0))</f>
        <v>1584.92</v>
      </c>
      <c r="AD133" s="22">
        <f t="shared" si="103"/>
        <v>-179.27586994796502</v>
      </c>
      <c r="AE133" s="23">
        <f t="shared" si="104"/>
        <v>-0.11311351358299788</v>
      </c>
      <c r="AF133" s="36">
        <f>Data_Stock!D133</f>
        <v>1407.82</v>
      </c>
    </row>
    <row r="134" spans="1:32" x14ac:dyDescent="0.2">
      <c r="A134" s="35">
        <f>Data_Stock!A134</f>
        <v>46097</v>
      </c>
      <c r="B134" s="36">
        <f>Data_Stock!B134</f>
        <v>1608.42</v>
      </c>
      <c r="C134" s="37">
        <f>Data_Stock!C134</f>
        <v>0.51</v>
      </c>
      <c r="D134" s="38">
        <f t="shared" si="84"/>
        <v>1.2575342465753425</v>
      </c>
      <c r="E134" s="28">
        <f>INDEX(Data_Svensson!$B$4:$B$202,MATCH($A134,Data_Svensson!$A$4:$A$202,1))</f>
        <v>1.1522779999999999</v>
      </c>
      <c r="F134" s="28">
        <f>INDEX(Data_Svensson!$C$4:$C$202,MATCH($A134,Data_Svensson!$A$4:$A$202,1))</f>
        <v>0.65135699999999996</v>
      </c>
      <c r="G134" s="28">
        <f>INDEX(Data_Svensson!$D$4:$D$202,MATCH($A134,Data_Svensson!$A$4:$A$202,1))</f>
        <v>1.610438</v>
      </c>
      <c r="H134" s="28">
        <f>INDEX(Data_Svensson!$E$4:$E$202,MATCH($A134,Data_Svensson!$A$4:$A$202,1))</f>
        <v>7.5864989999999999</v>
      </c>
      <c r="I134" s="28">
        <f>INDEX(Data_Svensson!$F$4:$F$202,MATCH($A134,Data_Svensson!$A$4:$A$202,1))</f>
        <v>0.88212500000000005</v>
      </c>
      <c r="J134" s="28">
        <f>INDEX(Data_Svensson!$G$4:$G$202,MATCH($A134,Data_Svensson!$A$4:$A$202,1))</f>
        <v>15.089097000000001</v>
      </c>
      <c r="K134" s="28">
        <f t="shared" si="85"/>
        <v>0.53285877925448244</v>
      </c>
      <c r="L134" s="28">
        <f t="shared" si="86"/>
        <v>0.2924882688402467</v>
      </c>
      <c r="M134" s="28">
        <f t="shared" si="87"/>
        <v>3.9425853338425076E-2</v>
      </c>
      <c r="N134" s="29">
        <f t="shared" si="88"/>
        <v>2.2694977154995195E-2</v>
      </c>
      <c r="O134" s="29">
        <f t="shared" si="89"/>
        <v>1.6694977154995197E-2</v>
      </c>
      <c r="P134" s="28">
        <f t="shared" si="90"/>
        <v>0.57191315558767009</v>
      </c>
      <c r="Q134" s="28">
        <f t="shared" si="91"/>
        <v>-0.43581323662054905</v>
      </c>
      <c r="R134" s="28">
        <f t="shared" si="92"/>
        <v>-5.8327064637885562E-2</v>
      </c>
      <c r="S134" s="28">
        <f t="shared" si="93"/>
        <v>1.0683422733464862</v>
      </c>
      <c r="T134" s="28">
        <f t="shared" si="94"/>
        <v>-1.5496799469605862</v>
      </c>
      <c r="U134" s="28">
        <f t="shared" si="95"/>
        <v>-0.42301060897621429</v>
      </c>
      <c r="V134" s="28">
        <f t="shared" si="96"/>
        <v>594.77199581628304</v>
      </c>
      <c r="W134" s="28">
        <f t="shared" si="97"/>
        <v>374.38942505666552</v>
      </c>
      <c r="X134" s="28">
        <f t="shared" si="98"/>
        <v>-12.056705684228348</v>
      </c>
      <c r="Y134" s="28">
        <f t="shared" si="99"/>
        <v>119.0581054515203</v>
      </c>
      <c r="Z134" s="28">
        <f t="shared" si="100"/>
        <v>89.267759623868869</v>
      </c>
      <c r="AA134" s="28">
        <f t="shared" si="101"/>
        <v>1348.9554035891833</v>
      </c>
      <c r="AB134" s="32">
        <f t="shared" si="102"/>
        <v>1438.2231632130522</v>
      </c>
      <c r="AC134" s="22">
        <f>INDEX(Data_Cert!$E$4:$E$195,MATCH($A134,Data_Cert!$A$4:$A$195,0))</f>
        <v>1608.48</v>
      </c>
      <c r="AD134" s="22">
        <f t="shared" si="103"/>
        <v>-170.25683678694782</v>
      </c>
      <c r="AE134" s="23">
        <f t="shared" si="104"/>
        <v>-0.1058495205330174</v>
      </c>
      <c r="AF134" s="36">
        <f>Data_Stock!D134</f>
        <v>1447.23</v>
      </c>
    </row>
    <row r="135" spans="1:32" x14ac:dyDescent="0.2">
      <c r="A135" s="35">
        <f>Data_Stock!A135</f>
        <v>46098</v>
      </c>
      <c r="B135" s="36">
        <f>Data_Stock!B135</f>
        <v>1618.82</v>
      </c>
      <c r="C135" s="37">
        <f>Data_Stock!C135</f>
        <v>0.495</v>
      </c>
      <c r="D135" s="38">
        <f t="shared" si="84"/>
        <v>1.2547945205479452</v>
      </c>
      <c r="E135" s="28">
        <f>INDEX(Data_Svensson!$B$4:$B$202,MATCH($A135,Data_Svensson!$A$4:$A$202,1))</f>
        <v>1.1466780000000001</v>
      </c>
      <c r="F135" s="28">
        <f>INDEX(Data_Svensson!$C$4:$C$202,MATCH($A135,Data_Svensson!$A$4:$A$202,1))</f>
        <v>0.65057200000000004</v>
      </c>
      <c r="G135" s="28">
        <f>INDEX(Data_Svensson!$D$4:$D$202,MATCH($A135,Data_Svensson!$A$4:$A$202,1))</f>
        <v>1.6363430000000001</v>
      </c>
      <c r="H135" s="28">
        <f>INDEX(Data_Svensson!$E$4:$E$202,MATCH($A135,Data_Svensson!$A$4:$A$202,1))</f>
        <v>7.5165459999999999</v>
      </c>
      <c r="I135" s="28">
        <f>INDEX(Data_Svensson!$F$4:$F$202,MATCH($A135,Data_Svensson!$A$4:$A$202,1))</f>
        <v>0.86317900000000003</v>
      </c>
      <c r="J135" s="28">
        <f>INDEX(Data_Svensson!$G$4:$G$202,MATCH($A135,Data_Svensson!$A$4:$A$202,1))</f>
        <v>15.070857999999999</v>
      </c>
      <c r="K135" s="28">
        <f t="shared" si="85"/>
        <v>0.52713696568268731</v>
      </c>
      <c r="L135" s="28">
        <f t="shared" si="86"/>
        <v>0.2934306036383213</v>
      </c>
      <c r="M135" s="28">
        <f t="shared" si="87"/>
        <v>3.9389678398067618E-2</v>
      </c>
      <c r="N135" s="29">
        <f t="shared" si="88"/>
        <v>2.2658459938917404E-2</v>
      </c>
      <c r="O135" s="29">
        <f t="shared" si="89"/>
        <v>1.6658459938917403E-2</v>
      </c>
      <c r="P135" s="28">
        <f t="shared" si="90"/>
        <v>0.5544871751422753</v>
      </c>
      <c r="Q135" s="28">
        <f t="shared" si="91"/>
        <v>-0.43201322338978715</v>
      </c>
      <c r="R135" s="28">
        <f t="shared" si="92"/>
        <v>-6.6401416454320905E-2</v>
      </c>
      <c r="S135" s="28">
        <f t="shared" si="93"/>
        <v>1.0956759863732168</v>
      </c>
      <c r="T135" s="28">
        <f t="shared" si="94"/>
        <v>-1.6278706226392277</v>
      </c>
      <c r="U135" s="28">
        <f t="shared" si="95"/>
        <v>-0.46579321981168981</v>
      </c>
      <c r="V135" s="28">
        <f t="shared" si="96"/>
        <v>578.382797425783</v>
      </c>
      <c r="W135" s="28">
        <f t="shared" si="97"/>
        <v>352.39567813281269</v>
      </c>
      <c r="X135" s="28">
        <f t="shared" si="98"/>
        <v>-9.7825217028485909</v>
      </c>
      <c r="Y135" s="28">
        <f t="shared" si="99"/>
        <v>119.5011504499322</v>
      </c>
      <c r="Z135" s="28">
        <f t="shared" si="100"/>
        <v>96.703447140189525</v>
      </c>
      <c r="AA135" s="28">
        <f t="shared" si="101"/>
        <v>1365.554535140709</v>
      </c>
      <c r="AB135" s="32">
        <f t="shared" si="102"/>
        <v>1462.2579822808987</v>
      </c>
      <c r="AC135" s="22">
        <f>INDEX(Data_Cert!$E$4:$E$195,MATCH($A135,Data_Cert!$A$4:$A$195,0))</f>
        <v>1606.84</v>
      </c>
      <c r="AD135" s="22">
        <f t="shared" si="103"/>
        <v>-144.58201771910126</v>
      </c>
      <c r="AE135" s="23">
        <f t="shared" si="104"/>
        <v>-8.9979100420142177E-2</v>
      </c>
      <c r="AF135" s="36">
        <f>Data_Stock!D135</f>
        <v>1480.72</v>
      </c>
    </row>
    <row r="136" spans="1:32" x14ac:dyDescent="0.2">
      <c r="A136" s="35">
        <f>Data_Stock!A136</f>
        <v>46099</v>
      </c>
      <c r="B136" s="36">
        <f>Data_Stock!B136</f>
        <v>1589.61</v>
      </c>
      <c r="C136" s="37">
        <f>Data_Stock!C136</f>
        <v>0.48499999999999999</v>
      </c>
      <c r="D136" s="38">
        <f t="shared" si="84"/>
        <v>1.252054794520548</v>
      </c>
      <c r="E136" s="28">
        <f>INDEX(Data_Svensson!$B$4:$B$202,MATCH($A136,Data_Svensson!$A$4:$A$202,1))</f>
        <v>1.1607799999999999</v>
      </c>
      <c r="F136" s="28">
        <f>INDEX(Data_Svensson!$C$4:$C$202,MATCH($A136,Data_Svensson!$A$4:$A$202,1))</f>
        <v>0.65412700000000001</v>
      </c>
      <c r="G136" s="28">
        <f>INDEX(Data_Svensson!$D$4:$D$202,MATCH($A136,Data_Svensson!$A$4:$A$202,1))</f>
        <v>1.776297</v>
      </c>
      <c r="H136" s="28">
        <f>INDEX(Data_Svensson!$E$4:$E$202,MATCH($A136,Data_Svensson!$A$4:$A$202,1))</f>
        <v>7.4346629999999996</v>
      </c>
      <c r="I136" s="28">
        <f>INDEX(Data_Svensson!$F$4:$F$202,MATCH($A136,Data_Svensson!$A$4:$A$202,1))</f>
        <v>0.91483999999999999</v>
      </c>
      <c r="J136" s="28">
        <f>INDEX(Data_Svensson!$G$4:$G$202,MATCH($A136,Data_Svensson!$A$4:$A$202,1))</f>
        <v>14.872972000000001</v>
      </c>
      <c r="K136" s="28">
        <f t="shared" si="85"/>
        <v>0.54474318856153114</v>
      </c>
      <c r="L136" s="28">
        <f t="shared" si="86"/>
        <v>0.29028155704222286</v>
      </c>
      <c r="M136" s="28">
        <f t="shared" si="87"/>
        <v>3.9802270812414942E-2</v>
      </c>
      <c r="N136" s="29">
        <f t="shared" si="88"/>
        <v>2.3286539567586591E-2</v>
      </c>
      <c r="O136" s="29">
        <f t="shared" si="89"/>
        <v>1.7286539567586592E-2</v>
      </c>
      <c r="P136" s="28">
        <f t="shared" si="90"/>
        <v>0.5426919835791717</v>
      </c>
      <c r="Q136" s="28">
        <f t="shared" si="91"/>
        <v>-0.42651061933218581</v>
      </c>
      <c r="R136" s="28">
        <f t="shared" si="92"/>
        <v>-0.11195575023229554</v>
      </c>
      <c r="S136" s="28">
        <f t="shared" si="93"/>
        <v>1.0753789366389541</v>
      </c>
      <c r="T136" s="28">
        <f t="shared" si="94"/>
        <v>-1.6402574443977906</v>
      </c>
      <c r="U136" s="28">
        <f t="shared" si="95"/>
        <v>-0.45292275752654071</v>
      </c>
      <c r="V136" s="28">
        <f t="shared" si="96"/>
        <v>585.3911691890188</v>
      </c>
      <c r="W136" s="28">
        <f t="shared" si="97"/>
        <v>354.5551209785171</v>
      </c>
      <c r="X136" s="28">
        <f t="shared" si="98"/>
        <v>-9.3173103681970773</v>
      </c>
      <c r="Y136" s="28">
        <f t="shared" si="99"/>
        <v>122.96544362251859</v>
      </c>
      <c r="Z136" s="28">
        <f t="shared" si="100"/>
        <v>98.553294219786039</v>
      </c>
      <c r="AA136" s="28">
        <f t="shared" si="101"/>
        <v>1357.1386557709784</v>
      </c>
      <c r="AB136" s="32">
        <f t="shared" si="102"/>
        <v>1455.6919499907644</v>
      </c>
      <c r="AC136" s="22">
        <f>INDEX(Data_Cert!$E$4:$E$195,MATCH($A136,Data_Cert!$A$4:$A$195,0))</f>
        <v>1592.17</v>
      </c>
      <c r="AD136" s="22">
        <f t="shared" si="103"/>
        <v>-136.47805000923563</v>
      </c>
      <c r="AE136" s="23">
        <f t="shared" si="104"/>
        <v>-8.5718265015190351E-2</v>
      </c>
      <c r="AF136" s="36">
        <f>Data_Stock!D136</f>
        <v>1459.55</v>
      </c>
    </row>
    <row r="137" spans="1:32" x14ac:dyDescent="0.2">
      <c r="A137" s="35">
        <f>Data_Stock!A137</f>
        <v>46100</v>
      </c>
      <c r="B137" s="36">
        <f>Data_Stock!B137</f>
        <v>1534.66</v>
      </c>
      <c r="C137" s="37">
        <f>Data_Stock!C137</f>
        <v>0.49</v>
      </c>
      <c r="D137" s="38">
        <f t="shared" si="84"/>
        <v>1.2493150684931507</v>
      </c>
      <c r="E137" s="28">
        <f>INDEX(Data_Svensson!$B$4:$B$202,MATCH($A137,Data_Svensson!$A$4:$A$202,1))</f>
        <v>1.1484799999999999</v>
      </c>
      <c r="F137" s="28">
        <f>INDEX(Data_Svensson!$C$4:$C$202,MATCH($A137,Data_Svensson!$A$4:$A$202,1))</f>
        <v>0.64283299999999999</v>
      </c>
      <c r="G137" s="28">
        <f>INDEX(Data_Svensson!$D$4:$D$202,MATCH($A137,Data_Svensson!$A$4:$A$202,1))</f>
        <v>2.046338</v>
      </c>
      <c r="H137" s="28">
        <f>INDEX(Data_Svensson!$E$4:$E$202,MATCH($A137,Data_Svensson!$A$4:$A$202,1))</f>
        <v>7.4137399999999998</v>
      </c>
      <c r="I137" s="28">
        <f>INDEX(Data_Svensson!$F$4:$F$202,MATCH($A137,Data_Svensson!$A$4:$A$202,1))</f>
        <v>0.91336600000000001</v>
      </c>
      <c r="J137" s="28">
        <f>INDEX(Data_Svensson!$G$4:$G$202,MATCH($A137,Data_Svensson!$A$4:$A$202,1))</f>
        <v>14.793862000000001</v>
      </c>
      <c r="K137" s="28">
        <f t="shared" si="85"/>
        <v>0.54491098230008594</v>
      </c>
      <c r="L137" s="28">
        <f t="shared" si="86"/>
        <v>0.29024801167812475</v>
      </c>
      <c r="M137" s="28">
        <f t="shared" si="87"/>
        <v>3.992054979359827E-2</v>
      </c>
      <c r="N137" s="29">
        <f t="shared" si="88"/>
        <v>2.3886728740330928E-2</v>
      </c>
      <c r="O137" s="29">
        <f t="shared" si="89"/>
        <v>1.7886728740330926E-2</v>
      </c>
      <c r="P137" s="28">
        <f t="shared" si="90"/>
        <v>0.54768654168712738</v>
      </c>
      <c r="Q137" s="28">
        <f t="shared" si="91"/>
        <v>-0.42550300399695573</v>
      </c>
      <c r="R137" s="28">
        <f t="shared" si="92"/>
        <v>-0.16891393465243904</v>
      </c>
      <c r="S137" s="28">
        <f t="shared" si="93"/>
        <v>1.0075930037974199</v>
      </c>
      <c r="T137" s="28">
        <f t="shared" si="94"/>
        <v>-1.5548113963461774</v>
      </c>
      <c r="U137" s="28">
        <f t="shared" si="95"/>
        <v>-0.3783044578963185</v>
      </c>
      <c r="V137" s="28">
        <f t="shared" si="96"/>
        <v>617.74464739162363</v>
      </c>
      <c r="W137" s="28">
        <f t="shared" si="97"/>
        <v>387.72679801438198</v>
      </c>
      <c r="X137" s="28">
        <f t="shared" si="98"/>
        <v>-11.48249116715867</v>
      </c>
      <c r="Y137" s="28">
        <f t="shared" si="99"/>
        <v>127.91767640722497</v>
      </c>
      <c r="Z137" s="28">
        <f t="shared" si="100"/>
        <v>90.617681802857987</v>
      </c>
      <c r="AA137" s="28">
        <f t="shared" si="101"/>
        <v>1323.4530073659353</v>
      </c>
      <c r="AB137" s="32">
        <f t="shared" si="102"/>
        <v>1414.0706891687933</v>
      </c>
      <c r="AC137" s="22">
        <f>INDEX(Data_Cert!$E$4:$E$195,MATCH($A137,Data_Cert!$A$4:$A$195,0))</f>
        <v>1553.77</v>
      </c>
      <c r="AD137" s="22">
        <f t="shared" si="103"/>
        <v>-139.69931083120673</v>
      </c>
      <c r="AE137" s="23">
        <f t="shared" si="104"/>
        <v>-8.9909903545059261E-2</v>
      </c>
      <c r="AF137" s="36">
        <f>Data_Stock!D137</f>
        <v>1416.92</v>
      </c>
    </row>
    <row r="138" spans="1:32" x14ac:dyDescent="0.2">
      <c r="A138" s="35">
        <f>Data_Stock!A138</f>
        <v>46101</v>
      </c>
      <c r="B138" s="36">
        <f>Data_Stock!B138</f>
        <v>1488.13</v>
      </c>
      <c r="C138" s="37">
        <f>Data_Stock!C138</f>
        <v>0.49</v>
      </c>
      <c r="D138" s="38">
        <f t="shared" si="84"/>
        <v>1.2465753424657535</v>
      </c>
      <c r="E138" s="28">
        <f>INDEX(Data_Svensson!$B$4:$B$202,MATCH($A138,Data_Svensson!$A$4:$A$202,1))</f>
        <v>1.1295170000000001</v>
      </c>
      <c r="F138" s="28">
        <f>INDEX(Data_Svensson!$C$4:$C$202,MATCH($A138,Data_Svensson!$A$4:$A$202,1))</f>
        <v>0.67733100000000002</v>
      </c>
      <c r="G138" s="28">
        <f>INDEX(Data_Svensson!$D$4:$D$202,MATCH($A138,Data_Svensson!$A$4:$A$202,1))</f>
        <v>2.3578619999999999</v>
      </c>
      <c r="H138" s="28">
        <f>INDEX(Data_Svensson!$E$4:$E$202,MATCH($A138,Data_Svensson!$A$4:$A$202,1))</f>
        <v>7.5911280000000003</v>
      </c>
      <c r="I138" s="28">
        <f>INDEX(Data_Svensson!$F$4:$F$202,MATCH($A138,Data_Svensson!$A$4:$A$202,1))</f>
        <v>0.99816300000000002</v>
      </c>
      <c r="J138" s="28">
        <f>INDEX(Data_Svensson!$G$4:$G$202,MATCH($A138,Data_Svensson!$A$4:$A$202,1))</f>
        <v>14.999563</v>
      </c>
      <c r="K138" s="28">
        <f t="shared" si="85"/>
        <v>0.57105335812581359</v>
      </c>
      <c r="L138" s="28">
        <f t="shared" si="86"/>
        <v>0.28422448896506991</v>
      </c>
      <c r="M138" s="28">
        <f t="shared" si="87"/>
        <v>3.9321627892144995E-2</v>
      </c>
      <c r="N138" s="29">
        <f t="shared" si="88"/>
        <v>2.4849667746105156E-2</v>
      </c>
      <c r="O138" s="29">
        <f t="shared" si="89"/>
        <v>1.8849667746105157E-2</v>
      </c>
      <c r="P138" s="28">
        <f t="shared" si="90"/>
        <v>0.54708567859707991</v>
      </c>
      <c r="Q138" s="28">
        <f t="shared" si="91"/>
        <v>-0.42149242921239</v>
      </c>
      <c r="R138" s="28">
        <f t="shared" si="92"/>
        <v>-0.22387349235478882</v>
      </c>
      <c r="S138" s="28">
        <f t="shared" si="93"/>
        <v>0.95392560127689108</v>
      </c>
      <c r="T138" s="28">
        <f t="shared" si="94"/>
        <v>-1.4987382810327954</v>
      </c>
      <c r="U138" s="28">
        <f t="shared" si="95"/>
        <v>-0.32093918740111549</v>
      </c>
      <c r="V138" s="28">
        <f t="shared" si="96"/>
        <v>642.36263437486332</v>
      </c>
      <c r="W138" s="28">
        <f t="shared" si="97"/>
        <v>412.07171197879279</v>
      </c>
      <c r="X138" s="28">
        <f t="shared" si="98"/>
        <v>-13.036997686364344</v>
      </c>
      <c r="Y138" s="28">
        <f t="shared" si="99"/>
        <v>132.18047933450583</v>
      </c>
      <c r="Z138" s="28">
        <f t="shared" si="100"/>
        <v>85.07344537520035</v>
      </c>
      <c r="AA138" s="28">
        <f t="shared" si="101"/>
        <v>1296.6331409727388</v>
      </c>
      <c r="AB138" s="32">
        <f t="shared" si="102"/>
        <v>1381.7065863479393</v>
      </c>
      <c r="AC138" s="22">
        <f>INDEX(Data_Cert!$E$4:$E$195,MATCH($A138,Data_Cert!$A$4:$A$195,0))</f>
        <v>1516.29</v>
      </c>
      <c r="AD138" s="22">
        <f t="shared" si="103"/>
        <v>-134.5834136520607</v>
      </c>
      <c r="AE138" s="23">
        <f t="shared" si="104"/>
        <v>-8.8758359978672083E-2</v>
      </c>
      <c r="AF138" s="36">
        <f>Data_Stock!D138</f>
        <v>1401</v>
      </c>
    </row>
    <row r="139" spans="1:32" x14ac:dyDescent="0.2">
      <c r="A139" s="35">
        <f>Data_Stock!A139</f>
        <v>46104</v>
      </c>
      <c r="B139" s="36">
        <f>Data_Stock!B139</f>
        <v>1468.32</v>
      </c>
      <c r="C139" s="37">
        <f>Data_Stock!C139</f>
        <v>0.47799999999999998</v>
      </c>
      <c r="D139" s="38">
        <f t="shared" si="84"/>
        <v>1.2383561643835617</v>
      </c>
      <c r="E139" s="28">
        <f>INDEX(Data_Svensson!$B$4:$B$202,MATCH($A139,Data_Svensson!$A$4:$A$202,1))</f>
        <v>1.18</v>
      </c>
      <c r="F139" s="28">
        <f>INDEX(Data_Svensson!$C$4:$C$202,MATCH($A139,Data_Svensson!$A$4:$A$202,1))</f>
        <v>0.72116400000000003</v>
      </c>
      <c r="G139" s="28">
        <f>INDEX(Data_Svensson!$D$4:$D$202,MATCH($A139,Data_Svensson!$A$4:$A$202,1))</f>
        <v>2.0357980000000002</v>
      </c>
      <c r="H139" s="28">
        <f>INDEX(Data_Svensson!$E$4:$E$202,MATCH($A139,Data_Svensson!$A$4:$A$202,1))</f>
        <v>7.3608349999999998</v>
      </c>
      <c r="I139" s="28">
        <f>INDEX(Data_Svensson!$F$4:$F$202,MATCH($A139,Data_Svensson!$A$4:$A$202,1))</f>
        <v>0.89287899999999998</v>
      </c>
      <c r="J139" s="28">
        <f>INDEX(Data_Svensson!$G$4:$G$202,MATCH($A139,Data_Svensson!$A$4:$A$202,1))</f>
        <v>14.784363000000001</v>
      </c>
      <c r="K139" s="28">
        <f t="shared" si="85"/>
        <v>0.54087829113518804</v>
      </c>
      <c r="L139" s="28">
        <f t="shared" si="86"/>
        <v>0.29103588920671486</v>
      </c>
      <c r="M139" s="28">
        <f t="shared" si="87"/>
        <v>3.9613804553765841E-2</v>
      </c>
      <c r="N139" s="29">
        <f t="shared" si="88"/>
        <v>2.4541429121659873E-2</v>
      </c>
      <c r="O139" s="29">
        <f t="shared" si="89"/>
        <v>1.8541429121659875E-2</v>
      </c>
      <c r="P139" s="28">
        <f t="shared" si="90"/>
        <v>0.53192534237711753</v>
      </c>
      <c r="Q139" s="28">
        <f t="shared" si="91"/>
        <v>-0.41885020779722049</v>
      </c>
      <c r="R139" s="28">
        <f t="shared" si="92"/>
        <v>-0.27183347167556282</v>
      </c>
      <c r="S139" s="28">
        <f t="shared" si="93"/>
        <v>0.9395339234384783</v>
      </c>
      <c r="T139" s="28">
        <f t="shared" si="94"/>
        <v>-1.532644714172811</v>
      </c>
      <c r="U139" s="28">
        <f t="shared" si="95"/>
        <v>-0.32127731905876988</v>
      </c>
      <c r="V139" s="28">
        <f t="shared" si="96"/>
        <v>646.35954545564584</v>
      </c>
      <c r="W139" s="28">
        <f t="shared" si="97"/>
        <v>409.898960359309</v>
      </c>
      <c r="X139" s="28">
        <f t="shared" si="98"/>
        <v>-11.812079159495532</v>
      </c>
      <c r="Y139" s="28">
        <f t="shared" si="99"/>
        <v>136.43797644367982</v>
      </c>
      <c r="Z139" s="28">
        <f t="shared" si="100"/>
        <v>88.210529493161488</v>
      </c>
      <c r="AA139" s="28">
        <f t="shared" si="101"/>
        <v>1293.7727233044666</v>
      </c>
      <c r="AB139" s="32">
        <f t="shared" si="102"/>
        <v>1381.983252797628</v>
      </c>
      <c r="AC139" s="22">
        <f>INDEX(Data_Cert!$E$4:$E$195,MATCH($A139,Data_Cert!$A$4:$A$195,0))</f>
        <v>1502</v>
      </c>
      <c r="AD139" s="22">
        <f t="shared" si="103"/>
        <v>-120.01674720237202</v>
      </c>
      <c r="AE139" s="23">
        <f t="shared" si="104"/>
        <v>-7.9904625301179769E-2</v>
      </c>
      <c r="AF139" s="36">
        <f>Data_Stock!D139</f>
        <v>1383.86</v>
      </c>
    </row>
    <row r="140" spans="1:32" x14ac:dyDescent="0.2">
      <c r="A140" s="35">
        <f>Data_Stock!A140</f>
        <v>46105</v>
      </c>
      <c r="B140" s="36">
        <f>Data_Stock!B140</f>
        <v>1456.94</v>
      </c>
      <c r="C140" s="37">
        <f>Data_Stock!C140</f>
        <v>0.46400000000000002</v>
      </c>
      <c r="D140" s="38">
        <f t="shared" si="84"/>
        <v>1.2356164383561643</v>
      </c>
      <c r="E140" s="28">
        <f>INDEX(Data_Svensson!$B$4:$B$202,MATCH($A140,Data_Svensson!$A$4:$A$202,1))</f>
        <v>1.139478</v>
      </c>
      <c r="F140" s="28">
        <f>INDEX(Data_Svensson!$C$4:$C$202,MATCH($A140,Data_Svensson!$A$4:$A$202,1))</f>
        <v>0.68929700000000005</v>
      </c>
      <c r="G140" s="28">
        <f>INDEX(Data_Svensson!$D$4:$D$202,MATCH($A140,Data_Svensson!$A$4:$A$202,1))</f>
        <v>2.4296160000000002</v>
      </c>
      <c r="H140" s="28">
        <f>INDEX(Data_Svensson!$E$4:$E$202,MATCH($A140,Data_Svensson!$A$4:$A$202,1))</f>
        <v>7.4002140000000001</v>
      </c>
      <c r="I140" s="28">
        <f>INDEX(Data_Svensson!$F$4:$F$202,MATCH($A140,Data_Svensson!$A$4:$A$202,1))</f>
        <v>0.86741199999999996</v>
      </c>
      <c r="J140" s="28">
        <f>INDEX(Data_Svensson!$G$4:$G$202,MATCH($A140,Data_Svensson!$A$4:$A$202,1))</f>
        <v>14.211817999999999</v>
      </c>
      <c r="K140" s="28">
        <f t="shared" si="85"/>
        <v>0.53308198201944823</v>
      </c>
      <c r="L140" s="28">
        <f t="shared" si="86"/>
        <v>0.29244991787313201</v>
      </c>
      <c r="M140" s="28">
        <f t="shared" si="87"/>
        <v>4.103203367741981E-2</v>
      </c>
      <c r="N140" s="29">
        <f t="shared" si="88"/>
        <v>2.5211166406914211E-2</v>
      </c>
      <c r="O140" s="29">
        <f t="shared" si="89"/>
        <v>1.9211166406914212E-2</v>
      </c>
      <c r="P140" s="28">
        <f t="shared" si="90"/>
        <v>0.51577444364017178</v>
      </c>
      <c r="Q140" s="28">
        <f t="shared" si="91"/>
        <v>-0.41076858647204678</v>
      </c>
      <c r="R140" s="28">
        <f t="shared" si="92"/>
        <v>-0.31032860450494215</v>
      </c>
      <c r="S140" s="28">
        <f t="shared" si="93"/>
        <v>0.93897140315508576</v>
      </c>
      <c r="T140" s="28">
        <f t="shared" si="94"/>
        <v>-1.5804504018397294</v>
      </c>
      <c r="U140" s="28">
        <f t="shared" si="95"/>
        <v>-0.3311503941797016</v>
      </c>
      <c r="V140" s="28">
        <f t="shared" si="96"/>
        <v>643.1506287364266</v>
      </c>
      <c r="W140" s="28">
        <f t="shared" si="97"/>
        <v>400.08491635647908</v>
      </c>
      <c r="X140" s="28">
        <f t="shared" si="98"/>
        <v>-10.28678642221017</v>
      </c>
      <c r="Y140" s="28">
        <f t="shared" si="99"/>
        <v>139.69965298121315</v>
      </c>
      <c r="Z140" s="28">
        <f t="shared" si="100"/>
        <v>93.07927297652418</v>
      </c>
      <c r="AA140" s="28">
        <f t="shared" si="101"/>
        <v>1295.5071149550181</v>
      </c>
      <c r="AB140" s="32">
        <f t="shared" si="102"/>
        <v>1388.5863879315423</v>
      </c>
      <c r="AC140" s="22">
        <f>INDEX(Data_Cert!$E$4:$E$195,MATCH($A140,Data_Cert!$A$4:$A$195,0))</f>
        <v>1479.83</v>
      </c>
      <c r="AD140" s="22">
        <f t="shared" si="103"/>
        <v>-91.243612068457651</v>
      </c>
      <c r="AE140" s="23">
        <f t="shared" si="104"/>
        <v>-6.1658171592992209E-2</v>
      </c>
      <c r="AF140" s="36">
        <f>Data_Stock!D140</f>
        <v>1388.76</v>
      </c>
    </row>
    <row r="141" spans="1:32" x14ac:dyDescent="0.2">
      <c r="A141" s="35">
        <f>Data_Stock!A141</f>
        <v>46106</v>
      </c>
      <c r="B141" s="36">
        <f>Data_Stock!B141</f>
        <v>1471.79</v>
      </c>
      <c r="C141" s="37">
        <f>Data_Stock!C141</f>
        <v>0.45200000000000001</v>
      </c>
      <c r="D141" s="38">
        <f t="shared" si="84"/>
        <v>1.2328767123287672</v>
      </c>
      <c r="E141" s="28">
        <f>INDEX(Data_Svensson!$B$4:$B$202,MATCH($A141,Data_Svensson!$A$4:$A$202,1))</f>
        <v>1.1532279999999999</v>
      </c>
      <c r="F141" s="28">
        <f>INDEX(Data_Svensson!$C$4:$C$202,MATCH($A141,Data_Svensson!$A$4:$A$202,1))</f>
        <v>0.68234700000000004</v>
      </c>
      <c r="G141" s="28">
        <f>INDEX(Data_Svensson!$D$4:$D$202,MATCH($A141,Data_Svensson!$A$4:$A$202,1))</f>
        <v>2.359486</v>
      </c>
      <c r="H141" s="28">
        <f>INDEX(Data_Svensson!$E$4:$E$202,MATCH($A141,Data_Svensson!$A$4:$A$202,1))</f>
        <v>7.1554320000000002</v>
      </c>
      <c r="I141" s="28">
        <f>INDEX(Data_Svensson!$F$4:$F$202,MATCH($A141,Data_Svensson!$A$4:$A$202,1))</f>
        <v>0.84454399999999996</v>
      </c>
      <c r="J141" s="28">
        <f>INDEX(Data_Svensson!$G$4:$G$202,MATCH($A141,Data_Svensson!$A$4:$A$202,1))</f>
        <v>14.141064</v>
      </c>
      <c r="K141" s="28">
        <f t="shared" si="85"/>
        <v>0.52590308021822907</v>
      </c>
      <c r="L141" s="28">
        <f t="shared" si="86"/>
        <v>0.29362348382422498</v>
      </c>
      <c r="M141" s="28">
        <f t="shared" si="87"/>
        <v>4.1139330369855731E-2</v>
      </c>
      <c r="N141" s="29">
        <f t="shared" si="88"/>
        <v>2.4992465694191907E-2</v>
      </c>
      <c r="O141" s="29">
        <f t="shared" si="89"/>
        <v>1.8992465694191905E-2</v>
      </c>
      <c r="P141" s="28">
        <f t="shared" si="90"/>
        <v>0.5018781165139764</v>
      </c>
      <c r="Q141" s="28">
        <f t="shared" si="91"/>
        <v>-0.40703820926564388</v>
      </c>
      <c r="R141" s="28">
        <f t="shared" si="92"/>
        <v>-0.31344590990513488</v>
      </c>
      <c r="S141" s="28">
        <f t="shared" si="93"/>
        <v>0.97044552745457524</v>
      </c>
      <c r="T141" s="28">
        <f t="shared" si="94"/>
        <v>-1.6591478714172589</v>
      </c>
      <c r="U141" s="28">
        <f t="shared" si="95"/>
        <v>-0.37525643405754883</v>
      </c>
      <c r="V141" s="28">
        <f t="shared" si="96"/>
        <v>626.80654116217511</v>
      </c>
      <c r="W141" s="28">
        <f t="shared" si="97"/>
        <v>377.59005047895209</v>
      </c>
      <c r="X141" s="28">
        <f t="shared" si="98"/>
        <v>-8.3367493676579798</v>
      </c>
      <c r="Y141" s="28">
        <f t="shared" si="99"/>
        <v>139.33511659758159</v>
      </c>
      <c r="Z141" s="28">
        <f t="shared" si="100"/>
        <v>101.54462471798345</v>
      </c>
      <c r="AA141" s="28">
        <f t="shared" si="101"/>
        <v>1312.5079423636023</v>
      </c>
      <c r="AB141" s="32">
        <f t="shared" si="102"/>
        <v>1414.0525670815857</v>
      </c>
      <c r="AC141" s="22">
        <f>INDEX(Data_Cert!$E$4:$E$195,MATCH($A141,Data_Cert!$A$4:$A$195,0))</f>
        <v>1504.22</v>
      </c>
      <c r="AD141" s="22">
        <f t="shared" si="103"/>
        <v>-90.167432918414306</v>
      </c>
      <c r="AE141" s="23">
        <f t="shared" si="104"/>
        <v>-5.9942982355250099E-2</v>
      </c>
      <c r="AF141" s="36">
        <f>Data_Stock!D141</f>
        <v>1423.42</v>
      </c>
    </row>
    <row r="142" spans="1:32" x14ac:dyDescent="0.2">
      <c r="A142" s="35">
        <f>Data_Stock!A142</f>
        <v>46107</v>
      </c>
      <c r="B142" s="36">
        <f>Data_Stock!B142</f>
        <v>1421.79</v>
      </c>
      <c r="C142" s="37">
        <f>Data_Stock!C142</f>
        <v>0.45800000000000002</v>
      </c>
      <c r="D142" s="38">
        <f t="shared" si="84"/>
        <v>1.2301369863013698</v>
      </c>
      <c r="E142" s="28">
        <f>INDEX(Data_Svensson!$B$4:$B$202,MATCH($A142,Data_Svensson!$A$4:$A$202,1))</f>
        <v>1.164096</v>
      </c>
      <c r="F142" s="28">
        <f>INDEX(Data_Svensson!$C$4:$C$202,MATCH($A142,Data_Svensson!$A$4:$A$202,1))</f>
        <v>0.689967</v>
      </c>
      <c r="G142" s="28">
        <f>INDEX(Data_Svensson!$D$4:$D$202,MATCH($A142,Data_Svensson!$A$4:$A$202,1))</f>
        <v>2.443759</v>
      </c>
      <c r="H142" s="28">
        <f>INDEX(Data_Svensson!$E$4:$E$202,MATCH($A142,Data_Svensson!$A$4:$A$202,1))</f>
        <v>7.3294449999999998</v>
      </c>
      <c r="I142" s="28">
        <f>INDEX(Data_Svensson!$F$4:$F$202,MATCH($A142,Data_Svensson!$A$4:$A$202,1))</f>
        <v>0.86434999999999995</v>
      </c>
      <c r="J142" s="28">
        <f>INDEX(Data_Svensson!$G$4:$G$202,MATCH($A142,Data_Svensson!$A$4:$A$202,1))</f>
        <v>13.853052999999999</v>
      </c>
      <c r="K142" s="28">
        <f t="shared" si="85"/>
        <v>0.53334755413058166</v>
      </c>
      <c r="L142" s="28">
        <f t="shared" si="86"/>
        <v>0.29240413177783153</v>
      </c>
      <c r="M142" s="28">
        <f t="shared" si="87"/>
        <v>4.1856561261398917E-2</v>
      </c>
      <c r="N142" s="29">
        <f t="shared" si="88"/>
        <v>2.5534388042046309E-2</v>
      </c>
      <c r="O142" s="29">
        <f t="shared" si="89"/>
        <v>1.9534388042046311E-2</v>
      </c>
      <c r="P142" s="28">
        <f t="shared" si="90"/>
        <v>0.50797485645897933</v>
      </c>
      <c r="Q142" s="28">
        <f t="shared" si="91"/>
        <v>-0.4068744491807636</v>
      </c>
      <c r="R142" s="28">
        <f t="shared" si="92"/>
        <v>-0.37045404193565151</v>
      </c>
      <c r="S142" s="28">
        <f t="shared" si="93"/>
        <v>0.89802806539193303</v>
      </c>
      <c r="T142" s="28">
        <f t="shared" si="94"/>
        <v>-1.5639244396404082</v>
      </c>
      <c r="U142" s="28">
        <f t="shared" si="95"/>
        <v>-0.29544233231282374</v>
      </c>
      <c r="V142" s="28">
        <f t="shared" si="96"/>
        <v>660.61145868561539</v>
      </c>
      <c r="W142" s="28">
        <f t="shared" si="97"/>
        <v>414.44807530982848</v>
      </c>
      <c r="X142" s="28">
        <f t="shared" si="98"/>
        <v>-10.569929407524839</v>
      </c>
      <c r="Y142" s="28">
        <f t="shared" si="99"/>
        <v>144.93113670783077</v>
      </c>
      <c r="Z142" s="28">
        <f t="shared" si="100"/>
        <v>90.66231726043128</v>
      </c>
      <c r="AA142" s="28">
        <f t="shared" si="101"/>
        <v>1277.5433393126934</v>
      </c>
      <c r="AB142" s="32">
        <f t="shared" si="102"/>
        <v>1368.2056565731248</v>
      </c>
      <c r="AC142" s="22">
        <f>INDEX(Data_Cert!$E$4:$E$195,MATCH($A142,Data_Cert!$A$4:$A$195,0))</f>
        <v>1449.09</v>
      </c>
      <c r="AD142" s="22">
        <f t="shared" si="103"/>
        <v>-80.884343426875148</v>
      </c>
      <c r="AE142" s="23">
        <f t="shared" si="104"/>
        <v>-5.5817336001818485E-2</v>
      </c>
      <c r="AF142" s="36">
        <f>Data_Stock!D142</f>
        <v>1379.92</v>
      </c>
    </row>
    <row r="143" spans="1:32" x14ac:dyDescent="0.2">
      <c r="A143" s="35">
        <f>Data_Stock!A143</f>
        <v>46108</v>
      </c>
      <c r="B143" s="36">
        <f>Data_Stock!B143</f>
        <v>1365.85</v>
      </c>
      <c r="C143" s="37">
        <f>Data_Stock!C143</f>
        <v>0.47099999999999997</v>
      </c>
      <c r="D143" s="38">
        <f t="shared" si="84"/>
        <v>1.2273972602739727</v>
      </c>
      <c r="E143" s="28">
        <f>INDEX(Data_Svensson!$B$4:$B$202,MATCH($A143,Data_Svensson!$A$4:$A$202,1))</f>
        <v>1.1530050000000001</v>
      </c>
      <c r="F143" s="28">
        <f>INDEX(Data_Svensson!$C$4:$C$202,MATCH($A143,Data_Svensson!$A$4:$A$202,1))</f>
        <v>0.67856300000000003</v>
      </c>
      <c r="G143" s="28">
        <f>INDEX(Data_Svensson!$D$4:$D$202,MATCH($A143,Data_Svensson!$A$4:$A$202,1))</f>
        <v>2.4809480000000002</v>
      </c>
      <c r="H143" s="28">
        <f>INDEX(Data_Svensson!$E$4:$E$202,MATCH($A143,Data_Svensson!$A$4:$A$202,1))</f>
        <v>7.5511249999999999</v>
      </c>
      <c r="I143" s="28">
        <f>INDEX(Data_Svensson!$F$4:$F$202,MATCH($A143,Data_Svensson!$A$4:$A$202,1))</f>
        <v>0.88143300000000002</v>
      </c>
      <c r="J143" s="28">
        <f>INDEX(Data_Svensson!$G$4:$G$202,MATCH($A143,Data_Svensson!$A$4:$A$202,1))</f>
        <v>13.716670000000001</v>
      </c>
      <c r="K143" s="28">
        <f t="shared" si="85"/>
        <v>0.53970988047766055</v>
      </c>
      <c r="L143" s="28">
        <f t="shared" si="86"/>
        <v>0.2912569959601462</v>
      </c>
      <c r="M143" s="28">
        <f t="shared" si="87"/>
        <v>4.2159524267527337E-2</v>
      </c>
      <c r="N143" s="29">
        <f t="shared" si="88"/>
        <v>2.5601774549245278E-2</v>
      </c>
      <c r="O143" s="29">
        <f t="shared" si="89"/>
        <v>1.9601774549245277E-2</v>
      </c>
      <c r="P143" s="28">
        <f t="shared" si="90"/>
        <v>0.52181130269134479</v>
      </c>
      <c r="Q143" s="28">
        <f t="shared" si="91"/>
        <v>-0.41164043369239556</v>
      </c>
      <c r="R143" s="28">
        <f t="shared" si="92"/>
        <v>-0.42384584576250778</v>
      </c>
      <c r="S143" s="28">
        <f t="shared" si="93"/>
        <v>0.81100095243276837</v>
      </c>
      <c r="T143" s="28">
        <f t="shared" si="94"/>
        <v>-1.4318224071362735</v>
      </c>
      <c r="U143" s="28">
        <f t="shared" si="95"/>
        <v>-0.19697560894099703</v>
      </c>
      <c r="V143" s="28">
        <f t="shared" si="96"/>
        <v>703.97010981483413</v>
      </c>
      <c r="W143" s="28">
        <f t="shared" si="97"/>
        <v>465.60324395129635</v>
      </c>
      <c r="X143" s="28">
        <f t="shared" si="98"/>
        <v>-14.651898698023018</v>
      </c>
      <c r="Y143" s="28">
        <f t="shared" si="99"/>
        <v>148.49852004689632</v>
      </c>
      <c r="Z143" s="28">
        <f t="shared" si="100"/>
        <v>75.216447118618447</v>
      </c>
      <c r="AA143" s="28">
        <f t="shared" si="101"/>
        <v>1234.1599714661486</v>
      </c>
      <c r="AB143" s="32">
        <f t="shared" si="102"/>
        <v>1309.376418584767</v>
      </c>
      <c r="AC143" s="22">
        <f>INDEX(Data_Cert!$E$4:$E$195,MATCH($A143,Data_Cert!$A$4:$A$195,0))</f>
        <v>1398.25</v>
      </c>
      <c r="AD143" s="22">
        <f t="shared" si="103"/>
        <v>-88.873581415233048</v>
      </c>
      <c r="AE143" s="23">
        <f t="shared" si="104"/>
        <v>-6.3560580307693931E-2</v>
      </c>
      <c r="AF143" s="36">
        <f>Data_Stock!D143</f>
        <v>1326.36</v>
      </c>
    </row>
    <row r="144" spans="1:32" x14ac:dyDescent="0.2">
      <c r="A144" s="35">
        <f>Data_Stock!A144</f>
        <v>46111</v>
      </c>
      <c r="B144" s="36">
        <f>Data_Stock!B144</f>
        <v>1395.55</v>
      </c>
      <c r="C144" s="37">
        <f>Data_Stock!C144</f>
        <v>0.46400000000000002</v>
      </c>
      <c r="D144" s="38">
        <f t="shared" si="84"/>
        <v>1.2191780821917808</v>
      </c>
      <c r="E144" s="28">
        <f>INDEX(Data_Svensson!$B$4:$B$202,MATCH($A144,Data_Svensson!$A$4:$A$202,1))</f>
        <v>1.108087</v>
      </c>
      <c r="F144" s="28">
        <f>INDEX(Data_Svensson!$C$4:$C$202,MATCH($A144,Data_Svensson!$A$4:$A$202,1))</f>
        <v>0.64795499999999995</v>
      </c>
      <c r="G144" s="28">
        <f>INDEX(Data_Svensson!$D$4:$D$202,MATCH($A144,Data_Svensson!$A$4:$A$202,1))</f>
        <v>2.636657</v>
      </c>
      <c r="H144" s="28">
        <f>INDEX(Data_Svensson!$E$4:$E$202,MATCH($A144,Data_Svensson!$A$4:$A$202,1))</f>
        <v>7.5700209999999997</v>
      </c>
      <c r="I144" s="28">
        <f>INDEX(Data_Svensson!$F$4:$F$202,MATCH($A144,Data_Svensson!$A$4:$A$202,1))</f>
        <v>0.80504699999999996</v>
      </c>
      <c r="J144" s="28">
        <f>INDEX(Data_Svensson!$G$4:$G$202,MATCH($A144,Data_Svensson!$A$4:$A$202,1))</f>
        <v>13.735744</v>
      </c>
      <c r="K144" s="28">
        <f t="shared" si="85"/>
        <v>0.51509140644715057</v>
      </c>
      <c r="L144" s="28">
        <f t="shared" si="86"/>
        <v>0.29515536925392355</v>
      </c>
      <c r="M144" s="28">
        <f t="shared" si="87"/>
        <v>4.1839054618989624E-2</v>
      </c>
      <c r="N144" s="29">
        <f t="shared" si="88"/>
        <v>2.5367890447813041E-2</v>
      </c>
      <c r="O144" s="29">
        <f t="shared" si="89"/>
        <v>1.9367890447813042E-2</v>
      </c>
      <c r="P144" s="28">
        <f t="shared" si="90"/>
        <v>0.51233208408566566</v>
      </c>
      <c r="Q144" s="28">
        <f t="shared" si="91"/>
        <v>-0.41004063964117748</v>
      </c>
      <c r="R144" s="28">
        <f t="shared" si="92"/>
        <v>-0.40013810260891564</v>
      </c>
      <c r="S144" s="28">
        <f t="shared" si="93"/>
        <v>0.85755595248909033</v>
      </c>
      <c r="T144" s="28">
        <f t="shared" si="94"/>
        <v>-1.5107397903501325</v>
      </c>
      <c r="U144" s="28">
        <f t="shared" si="95"/>
        <v>-0.25304573525212654</v>
      </c>
      <c r="V144" s="28">
        <f t="shared" si="96"/>
        <v>680.50175054980002</v>
      </c>
      <c r="W144" s="28">
        <f t="shared" si="97"/>
        <v>436.75954611523122</v>
      </c>
      <c r="X144" s="28">
        <f t="shared" si="98"/>
        <v>-12.068904165031867</v>
      </c>
      <c r="Y144" s="28">
        <f t="shared" si="99"/>
        <v>147.40468198859674</v>
      </c>
      <c r="Z144" s="28">
        <f t="shared" si="100"/>
        <v>84.268618280940188</v>
      </c>
      <c r="AA144" s="28">
        <f t="shared" si="101"/>
        <v>1258.5890515995516</v>
      </c>
      <c r="AB144" s="32">
        <f t="shared" si="102"/>
        <v>1342.8576698804918</v>
      </c>
      <c r="AC144" s="22">
        <f>INDEX(Data_Cert!$E$4:$E$195,MATCH($A144,Data_Cert!$A$4:$A$195,0))</f>
        <v>1417.54</v>
      </c>
      <c r="AD144" s="22">
        <f t="shared" si="103"/>
        <v>-74.682330119508151</v>
      </c>
      <c r="AE144" s="23">
        <f t="shared" si="104"/>
        <v>-5.2684460487540496E-2</v>
      </c>
      <c r="AF144" s="36">
        <f>Data_Stock!D144</f>
        <v>1344.84</v>
      </c>
    </row>
    <row r="145" spans="1:32" x14ac:dyDescent="0.2">
      <c r="A145" s="35">
        <f>Data_Stock!A145</f>
        <v>46112</v>
      </c>
      <c r="B145" s="36">
        <f>Data_Stock!B145</f>
        <v>1430.2</v>
      </c>
      <c r="C145" s="37">
        <f>Data_Stock!C145</f>
        <v>0.46</v>
      </c>
      <c r="D145" s="38">
        <f t="shared" si="84"/>
        <v>1.2164383561643837</v>
      </c>
      <c r="E145" s="28">
        <f>INDEX(Data_Svensson!$B$4:$B$202,MATCH($A145,Data_Svensson!$A$4:$A$202,1))</f>
        <v>1.107375</v>
      </c>
      <c r="F145" s="28">
        <f>INDEX(Data_Svensson!$C$4:$C$202,MATCH($A145,Data_Svensson!$A$4:$A$202,1))</f>
        <v>0.67774100000000004</v>
      </c>
      <c r="G145" s="28">
        <f>INDEX(Data_Svensson!$D$4:$D$202,MATCH($A145,Data_Svensson!$A$4:$A$202,1))</f>
        <v>2.6118429999999999</v>
      </c>
      <c r="H145" s="28">
        <f>INDEX(Data_Svensson!$E$4:$E$202,MATCH($A145,Data_Svensson!$A$4:$A$202,1))</f>
        <v>7.5068900000000003</v>
      </c>
      <c r="I145" s="28">
        <f>INDEX(Data_Svensson!$F$4:$F$202,MATCH($A145,Data_Svensson!$A$4:$A$202,1))</f>
        <v>0.78421300000000005</v>
      </c>
      <c r="J145" s="28">
        <f>INDEX(Data_Svensson!$G$4:$G$202,MATCH($A145,Data_Svensson!$A$4:$A$202,1))</f>
        <v>13.734658</v>
      </c>
      <c r="K145" s="28">
        <f t="shared" si="85"/>
        <v>0.50800604067563826</v>
      </c>
      <c r="L145" s="28">
        <f t="shared" si="86"/>
        <v>0.29600373140640962</v>
      </c>
      <c r="M145" s="28">
        <f t="shared" si="87"/>
        <v>4.1753652092912485E-2</v>
      </c>
      <c r="N145" s="29">
        <f t="shared" si="88"/>
        <v>2.5382268692210226E-2</v>
      </c>
      <c r="O145" s="29">
        <f t="shared" si="89"/>
        <v>1.9382268692210228E-2</v>
      </c>
      <c r="P145" s="28">
        <f t="shared" si="90"/>
        <v>0.50734441572208477</v>
      </c>
      <c r="Q145" s="28">
        <f t="shared" si="91"/>
        <v>-0.40840137669087795</v>
      </c>
      <c r="R145" s="28">
        <f t="shared" si="92"/>
        <v>-0.36081282676260246</v>
      </c>
      <c r="S145" s="28">
        <f t="shared" si="93"/>
        <v>0.90924553284981902</v>
      </c>
      <c r="T145" s="28">
        <f t="shared" si="94"/>
        <v>-1.5790153766927275</v>
      </c>
      <c r="U145" s="28">
        <f t="shared" si="95"/>
        <v>-0.30895701708030637</v>
      </c>
      <c r="V145" s="28">
        <f t="shared" si="96"/>
        <v>655.67683039953067</v>
      </c>
      <c r="W145" s="28">
        <f t="shared" si="97"/>
        <v>408.99595884556948</v>
      </c>
      <c r="X145" s="28">
        <f t="shared" si="98"/>
        <v>-10.200001100349986</v>
      </c>
      <c r="Y145" s="28">
        <f t="shared" si="99"/>
        <v>144.08342023053928</v>
      </c>
      <c r="Z145" s="28">
        <f t="shared" si="100"/>
        <v>92.397450223071928</v>
      </c>
      <c r="AA145" s="28">
        <f t="shared" si="101"/>
        <v>1283.5148280786586</v>
      </c>
      <c r="AB145" s="32">
        <f t="shared" si="102"/>
        <v>1375.9122783017306</v>
      </c>
      <c r="AC145" s="22">
        <f>INDEX(Data_Cert!$E$4:$E$195,MATCH($A145,Data_Cert!$A$4:$A$195,0))</f>
        <v>1468.75</v>
      </c>
      <c r="AD145" s="22">
        <f t="shared" si="103"/>
        <v>-92.837721698269434</v>
      </c>
      <c r="AE145" s="23">
        <f t="shared" si="104"/>
        <v>-6.3208661581800468E-2</v>
      </c>
      <c r="AF145" s="36">
        <f>Data_Stock!D145</f>
        <v>1384.01</v>
      </c>
    </row>
    <row r="146" spans="1:32" x14ac:dyDescent="0.2">
      <c r="A146" s="35">
        <f>Data_Stock!A146</f>
        <v>46113</v>
      </c>
      <c r="B146" s="36">
        <f>Data_Stock!B146</f>
        <v>1565.85</v>
      </c>
      <c r="C146" s="37">
        <f>Data_Stock!C146</f>
        <v>0.56799999999999995</v>
      </c>
      <c r="D146" s="38">
        <f t="shared" si="84"/>
        <v>1.2136986301369863</v>
      </c>
      <c r="E146" s="28">
        <f>INDEX(Data_Svensson!$B$4:$B$202,MATCH($A146,Data_Svensson!$A$4:$A$202,1))</f>
        <v>1.1845619999999999</v>
      </c>
      <c r="F146" s="28">
        <f>INDEX(Data_Svensson!$C$4:$C$202,MATCH($A146,Data_Svensson!$A$4:$A$202,1))</f>
        <v>0.74142799999999998</v>
      </c>
      <c r="G146" s="28">
        <f>INDEX(Data_Svensson!$D$4:$D$202,MATCH($A146,Data_Svensson!$A$4:$A$202,1))</f>
        <v>2.1693349999999998</v>
      </c>
      <c r="H146" s="28">
        <f>INDEX(Data_Svensson!$E$4:$E$202,MATCH($A146,Data_Svensson!$A$4:$A$202,1))</f>
        <v>7.254842</v>
      </c>
      <c r="I146" s="28">
        <f>INDEX(Data_Svensson!$F$4:$F$202,MATCH($A146,Data_Svensson!$A$4:$A$202,1))</f>
        <v>0.80827000000000004</v>
      </c>
      <c r="J146" s="28">
        <f>INDEX(Data_Svensson!$G$4:$G$202,MATCH($A146,Data_Svensson!$A$4:$A$202,1))</f>
        <v>14.077496999999999</v>
      </c>
      <c r="K146" s="28">
        <f t="shared" si="85"/>
        <v>0.51759883952356078</v>
      </c>
      <c r="L146" s="28">
        <f t="shared" si="86"/>
        <v>0.29482551191055961</v>
      </c>
      <c r="M146" s="28">
        <f t="shared" si="87"/>
        <v>4.0708348864262223E-2</v>
      </c>
      <c r="N146" s="29">
        <f t="shared" si="88"/>
        <v>2.5032322133618702E-2</v>
      </c>
      <c r="O146" s="29">
        <f t="shared" si="89"/>
        <v>1.9032322133618704E-2</v>
      </c>
      <c r="P146" s="28">
        <f t="shared" si="90"/>
        <v>0.62575419043687996</v>
      </c>
      <c r="Q146" s="28">
        <f t="shared" si="91"/>
        <v>-0.4410077299468772</v>
      </c>
      <c r="R146" s="28">
        <f t="shared" si="92"/>
        <v>-4.1285726388938793E-2</v>
      </c>
      <c r="S146" s="28">
        <f t="shared" si="93"/>
        <v>0.98844292143784673</v>
      </c>
      <c r="T146" s="28">
        <f t="shared" si="94"/>
        <v>-1.3185880584495013</v>
      </c>
      <c r="U146" s="28">
        <f t="shared" si="95"/>
        <v>-0.28885941062271553</v>
      </c>
      <c r="V146" s="28">
        <f t="shared" si="96"/>
        <v>647.66776915002697</v>
      </c>
      <c r="W146" s="28">
        <f t="shared" si="97"/>
        <v>444.38620459182243</v>
      </c>
      <c r="X146" s="28">
        <f t="shared" si="98"/>
        <v>-21.56603669376976</v>
      </c>
      <c r="Y146" s="28">
        <f t="shared" si="99"/>
        <v>113.18510638386414</v>
      </c>
      <c r="Z146" s="28">
        <f t="shared" si="100"/>
        <v>68.530421480570624</v>
      </c>
      <c r="AA146" s="28">
        <f t="shared" si="101"/>
        <v>1292.4826107379072</v>
      </c>
      <c r="AB146" s="32">
        <f t="shared" si="102"/>
        <v>1361.0130322184777</v>
      </c>
      <c r="AC146" s="22">
        <f>INDEX(Data_Cert!$E$4:$E$195,MATCH($A146,Data_Cert!$A$4:$A$195,0))</f>
        <v>1566.35</v>
      </c>
      <c r="AD146" s="22">
        <f t="shared" si="103"/>
        <v>-205.33696778152216</v>
      </c>
      <c r="AE146" s="23">
        <f t="shared" si="104"/>
        <v>-0.13109264709772539</v>
      </c>
      <c r="AF146" s="36">
        <f>Data_Stock!D146</f>
        <v>1377.74</v>
      </c>
    </row>
    <row r="147" spans="1:32" x14ac:dyDescent="0.2">
      <c r="A147" s="35">
        <f>Data_Stock!A147</f>
        <v>46114</v>
      </c>
      <c r="B147" s="36">
        <f>Data_Stock!B147</f>
        <v>1554.96</v>
      </c>
      <c r="C147" s="37">
        <f>Data_Stock!C147</f>
        <v>0.55200000000000005</v>
      </c>
      <c r="D147" s="38">
        <f t="shared" si="84"/>
        <v>1.210958904109589</v>
      </c>
      <c r="E147" s="28">
        <f>INDEX(Data_Svensson!$B$4:$B$202,MATCH($A147,Data_Svensson!$A$4:$A$202,1))</f>
        <v>1.1940249999999999</v>
      </c>
      <c r="F147" s="28">
        <f>INDEX(Data_Svensson!$C$4:$C$202,MATCH($A147,Data_Svensson!$A$4:$A$202,1))</f>
        <v>0.72639799999999999</v>
      </c>
      <c r="G147" s="28">
        <f>INDEX(Data_Svensson!$D$4:$D$202,MATCH($A147,Data_Svensson!$A$4:$A$202,1))</f>
        <v>2.323664</v>
      </c>
      <c r="H147" s="28">
        <f>INDEX(Data_Svensson!$E$4:$E$202,MATCH($A147,Data_Svensson!$A$4:$A$202,1))</f>
        <v>7.3193440000000001</v>
      </c>
      <c r="I147" s="28">
        <f>INDEX(Data_Svensson!$F$4:$F$202,MATCH($A147,Data_Svensson!$A$4:$A$202,1))</f>
        <v>0.80283800000000005</v>
      </c>
      <c r="J147" s="28">
        <f>INDEX(Data_Svensson!$G$4:$G$202,MATCH($A147,Data_Svensson!$A$4:$A$202,1))</f>
        <v>14.175020999999999</v>
      </c>
      <c r="K147" s="28">
        <f t="shared" si="85"/>
        <v>0.51627664574067433</v>
      </c>
      <c r="L147" s="28">
        <f t="shared" si="86"/>
        <v>0.2950013712064613</v>
      </c>
      <c r="M147" s="28">
        <f t="shared" si="87"/>
        <v>4.0358017414868885E-2</v>
      </c>
      <c r="N147" s="29">
        <f t="shared" si="88"/>
        <v>2.5499256017532411E-2</v>
      </c>
      <c r="O147" s="29">
        <f t="shared" si="89"/>
        <v>1.9499256017532413E-2</v>
      </c>
      <c r="P147" s="28">
        <f t="shared" si="90"/>
        <v>0.60744055010989206</v>
      </c>
      <c r="Q147" s="28">
        <f t="shared" si="91"/>
        <v>-0.43600590731486161</v>
      </c>
      <c r="R147" s="28">
        <f t="shared" si="92"/>
        <v>-7.1764306922771248E-2</v>
      </c>
      <c r="S147" s="28">
        <f t="shared" si="93"/>
        <v>0.98900948612404238</v>
      </c>
      <c r="T147" s="28">
        <f t="shared" si="94"/>
        <v>-1.364597515332076</v>
      </c>
      <c r="U147" s="28">
        <f t="shared" si="95"/>
        <v>-0.30382372228526255</v>
      </c>
      <c r="V147" s="28">
        <f t="shared" si="96"/>
        <v>641.28141706069141</v>
      </c>
      <c r="W147" s="28">
        <f t="shared" si="97"/>
        <v>432.3674440330077</v>
      </c>
      <c r="X147" s="28">
        <f t="shared" si="98"/>
        <v>-19.069719874163454</v>
      </c>
      <c r="Y147" s="28">
        <f t="shared" si="99"/>
        <v>117.20438993510385</v>
      </c>
      <c r="Z147" s="28">
        <f t="shared" si="100"/>
        <v>72.639863218416394</v>
      </c>
      <c r="AA147" s="28">
        <f t="shared" si="101"/>
        <v>1297.9052268315711</v>
      </c>
      <c r="AB147" s="32">
        <f t="shared" si="102"/>
        <v>1370.5450900499875</v>
      </c>
      <c r="AC147" s="22">
        <f>INDEX(Data_Cert!$E$4:$E$195,MATCH($A147,Data_Cert!$A$4:$A$195,0))</f>
        <v>1556.31</v>
      </c>
      <c r="AD147" s="22">
        <f t="shared" si="103"/>
        <v>-185.76490995001245</v>
      </c>
      <c r="AE147" s="23">
        <f t="shared" si="104"/>
        <v>-0.11936240848546399</v>
      </c>
      <c r="AF147" s="36">
        <f>Data_Stock!D147</f>
        <v>1386.03</v>
      </c>
    </row>
    <row r="148" spans="1:32" x14ac:dyDescent="0.2">
      <c r="A148" s="35">
        <f>Data_Stock!A148</f>
        <v>46119</v>
      </c>
      <c r="B148" s="36">
        <f>Data_Stock!B148</f>
        <v>1515.85</v>
      </c>
      <c r="C148" s="37">
        <f>Data_Stock!C148</f>
        <v>0.54400000000000004</v>
      </c>
      <c r="D148" s="38">
        <f t="shared" si="84"/>
        <v>1.1972602739726028</v>
      </c>
      <c r="E148" s="28">
        <f>INDEX(Data_Svensson!$B$4:$B$202,MATCH($A148,Data_Svensson!$A$4:$A$202,1))</f>
        <v>1.194372</v>
      </c>
      <c r="F148" s="28">
        <f>INDEX(Data_Svensson!$C$4:$C$202,MATCH($A148,Data_Svensson!$A$4:$A$202,1))</f>
        <v>0.73069200000000001</v>
      </c>
      <c r="G148" s="28">
        <f>INDEX(Data_Svensson!$D$4:$D$202,MATCH($A148,Data_Svensson!$A$4:$A$202,1))</f>
        <v>2.4522029999999999</v>
      </c>
      <c r="H148" s="28">
        <f>INDEX(Data_Svensson!$E$4:$E$202,MATCH($A148,Data_Svensson!$A$4:$A$202,1))</f>
        <v>7.3569040000000001</v>
      </c>
      <c r="I148" s="28">
        <f>INDEX(Data_Svensson!$F$4:$F$202,MATCH($A148,Data_Svensson!$A$4:$A$202,1))</f>
        <v>0.86002599999999996</v>
      </c>
      <c r="J148" s="28">
        <f>INDEX(Data_Svensson!$G$4:$G$202,MATCH($A148,Data_Svensson!$A$4:$A$202,1))</f>
        <v>14.277611</v>
      </c>
      <c r="K148" s="28">
        <f t="shared" si="85"/>
        <v>0.53978958571823243</v>
      </c>
      <c r="L148" s="28">
        <f t="shared" si="86"/>
        <v>0.29124201539427574</v>
      </c>
      <c r="M148" s="28">
        <f t="shared" si="87"/>
        <v>3.9656048714432512E-2</v>
      </c>
      <c r="N148" s="29">
        <f t="shared" si="88"/>
        <v>2.5947222192549191E-2</v>
      </c>
      <c r="O148" s="29">
        <f t="shared" si="89"/>
        <v>1.9947222192549192E-2</v>
      </c>
      <c r="P148" s="28">
        <f t="shared" si="90"/>
        <v>0.59524147741765798</v>
      </c>
      <c r="Q148" s="28">
        <f t="shared" si="91"/>
        <v>-0.43259616203317885</v>
      </c>
      <c r="R148" s="28">
        <f t="shared" si="92"/>
        <v>-0.12790207132405884</v>
      </c>
      <c r="S148" s="28">
        <f t="shared" si="93"/>
        <v>0.9546115653027667</v>
      </c>
      <c r="T148" s="28">
        <f t="shared" si="94"/>
        <v>-1.3616406043219518</v>
      </c>
      <c r="U148" s="28">
        <f t="shared" si="95"/>
        <v>-0.27912696769512652</v>
      </c>
      <c r="V148" s="28">
        <f t="shared" si="96"/>
        <v>654.51169333476969</v>
      </c>
      <c r="W148" s="28">
        <f t="shared" si="97"/>
        <v>441.63571199645895</v>
      </c>
      <c r="X148" s="28">
        <f t="shared" si="98"/>
        <v>-18.897155018354439</v>
      </c>
      <c r="Y148" s="28">
        <f t="shared" si="99"/>
        <v>121.67652397880136</v>
      </c>
      <c r="Z148" s="28">
        <f t="shared" si="100"/>
        <v>72.302302341154927</v>
      </c>
      <c r="AA148" s="28">
        <f t="shared" si="101"/>
        <v>1284.312303767452</v>
      </c>
      <c r="AB148" s="32">
        <f t="shared" si="102"/>
        <v>1356.6146061086069</v>
      </c>
      <c r="AC148" s="22">
        <f>INDEX(Data_Cert!$E$4:$E$195,MATCH($A148,Data_Cert!$A$4:$A$195,0))</f>
        <v>1527.25</v>
      </c>
      <c r="AD148" s="22">
        <f t="shared" si="103"/>
        <v>-170.63539389139305</v>
      </c>
      <c r="AE148" s="23">
        <f t="shared" si="104"/>
        <v>-0.11172721813153907</v>
      </c>
      <c r="AF148" s="36">
        <f>Data_Stock!D148</f>
        <v>1361.71</v>
      </c>
    </row>
    <row r="149" spans="1:32" x14ac:dyDescent="0.2">
      <c r="A149" s="35">
        <f>Data_Stock!A149</f>
        <v>46120</v>
      </c>
      <c r="B149" s="36">
        <f>Data_Stock!B149</f>
        <v>1562.38</v>
      </c>
      <c r="C149" s="37">
        <f>Data_Stock!C149</f>
        <v>0.54</v>
      </c>
      <c r="D149" s="38">
        <f t="shared" si="84"/>
        <v>1.1945205479452055</v>
      </c>
      <c r="E149" s="28">
        <f>INDEX(Data_Svensson!$B$4:$B$202,MATCH($A149,Data_Svensson!$A$4:$A$202,1))</f>
        <v>1.1690970000000001</v>
      </c>
      <c r="F149" s="28">
        <f>INDEX(Data_Svensson!$C$4:$C$202,MATCH($A149,Data_Svensson!$A$4:$A$202,1))</f>
        <v>0.69464400000000004</v>
      </c>
      <c r="G149" s="28">
        <f>INDEX(Data_Svensson!$D$4:$D$202,MATCH($A149,Data_Svensson!$A$4:$A$202,1))</f>
        <v>1.949559</v>
      </c>
      <c r="H149" s="28">
        <f>INDEX(Data_Svensson!$E$4:$E$202,MATCH($A149,Data_Svensson!$A$4:$A$202,1))</f>
        <v>7.3243770000000001</v>
      </c>
      <c r="I149" s="28">
        <f>INDEX(Data_Svensson!$F$4:$F$202,MATCH($A149,Data_Svensson!$A$4:$A$202,1))</f>
        <v>0.82809900000000003</v>
      </c>
      <c r="J149" s="28">
        <f>INDEX(Data_Svensson!$G$4:$G$202,MATCH($A149,Data_Svensson!$A$4:$A$202,1))</f>
        <v>14.904858000000001</v>
      </c>
      <c r="K149" s="28">
        <f t="shared" si="85"/>
        <v>0.5294060032202581</v>
      </c>
      <c r="L149" s="28">
        <f t="shared" si="86"/>
        <v>0.29306632529786458</v>
      </c>
      <c r="M149" s="28">
        <f t="shared" si="87"/>
        <v>3.7993539982084323E-2</v>
      </c>
      <c r="N149" s="29">
        <f t="shared" si="88"/>
        <v>2.3864748061756716E-2</v>
      </c>
      <c r="O149" s="29">
        <f t="shared" si="89"/>
        <v>1.7864748061756718E-2</v>
      </c>
      <c r="P149" s="28">
        <f t="shared" si="90"/>
        <v>0.59018826808131475</v>
      </c>
      <c r="Q149" s="28">
        <f t="shared" si="91"/>
        <v>-0.43873543188697967</v>
      </c>
      <c r="R149" s="28">
        <f t="shared" si="92"/>
        <v>-8.715181091953933E-2</v>
      </c>
      <c r="S149" s="28">
        <f t="shared" si="93"/>
        <v>1.0046303393514235</v>
      </c>
      <c r="T149" s="28">
        <f t="shared" si="94"/>
        <v>-1.4339089628423252</v>
      </c>
      <c r="U149" s="28">
        <f t="shared" si="95"/>
        <v>-0.34212681257136246</v>
      </c>
      <c r="V149" s="28">
        <f t="shared" si="96"/>
        <v>630.12559466323694</v>
      </c>
      <c r="W149" s="28">
        <f t="shared" si="97"/>
        <v>415.10451658205284</v>
      </c>
      <c r="X149" s="28">
        <f t="shared" si="98"/>
        <v>-16.090431896149738</v>
      </c>
      <c r="Y149" s="28">
        <f t="shared" si="99"/>
        <v>120.16892273007846</v>
      </c>
      <c r="Z149" s="28">
        <f t="shared" si="100"/>
        <v>78.761723454955899</v>
      </c>
      <c r="AA149" s="28">
        <f t="shared" si="101"/>
        <v>1313.6655193558631</v>
      </c>
      <c r="AB149" s="32">
        <f t="shared" si="102"/>
        <v>1392.4272428108191</v>
      </c>
      <c r="AC149" s="22">
        <f>INDEX(Data_Cert!$E$4:$E$195,MATCH($A149,Data_Cert!$A$4:$A$195,0))</f>
        <v>1563.53</v>
      </c>
      <c r="AD149" s="22">
        <f t="shared" si="103"/>
        <v>-171.10275718918092</v>
      </c>
      <c r="AE149" s="23">
        <f t="shared" si="104"/>
        <v>-0.10943362595484636</v>
      </c>
      <c r="AF149" s="36">
        <f>Data_Stock!D149</f>
        <v>1400.26</v>
      </c>
    </row>
    <row r="150" spans="1:32" x14ac:dyDescent="0.2">
      <c r="A150" s="35">
        <f>Data_Stock!A150</f>
        <v>46121</v>
      </c>
      <c r="B150" s="36">
        <f>Data_Stock!B150</f>
        <v>1534.86</v>
      </c>
      <c r="C150" s="37">
        <f>Data_Stock!C150</f>
        <v>0.52800000000000002</v>
      </c>
      <c r="D150" s="38">
        <f t="shared" si="84"/>
        <v>1.1917808219178083</v>
      </c>
      <c r="E150" s="28">
        <f>INDEX(Data_Svensson!$B$4:$B$202,MATCH($A150,Data_Svensson!$A$4:$A$202,1))</f>
        <v>1.183257</v>
      </c>
      <c r="F150" s="28">
        <f>INDEX(Data_Svensson!$C$4:$C$202,MATCH($A150,Data_Svensson!$A$4:$A$202,1))</f>
        <v>0.69357800000000003</v>
      </c>
      <c r="G150" s="28">
        <f>INDEX(Data_Svensson!$D$4:$D$202,MATCH($A150,Data_Svensson!$A$4:$A$202,1))</f>
        <v>2.1070540000000002</v>
      </c>
      <c r="H150" s="28">
        <f>INDEX(Data_Svensson!$E$4:$E$202,MATCH($A150,Data_Svensson!$A$4:$A$202,1))</f>
        <v>7.5160210000000003</v>
      </c>
      <c r="I150" s="28">
        <f>INDEX(Data_Svensson!$F$4:$F$202,MATCH($A150,Data_Svensson!$A$4:$A$202,1))</f>
        <v>0.82954499999999998</v>
      </c>
      <c r="J150" s="28">
        <f>INDEX(Data_Svensson!$G$4:$G$202,MATCH($A150,Data_Svensson!$A$4:$A$202,1))</f>
        <v>14.531594999999999</v>
      </c>
      <c r="K150" s="28">
        <f t="shared" si="85"/>
        <v>0.53058984963840472</v>
      </c>
      <c r="L150" s="28">
        <f t="shared" si="86"/>
        <v>0.29287134986238805</v>
      </c>
      <c r="M150" s="28">
        <f t="shared" si="87"/>
        <v>3.8831961656168312E-2</v>
      </c>
      <c r="N150" s="29">
        <f t="shared" si="88"/>
        <v>2.4602200352244051E-2</v>
      </c>
      <c r="O150" s="29">
        <f t="shared" si="89"/>
        <v>1.8602200352244053E-2</v>
      </c>
      <c r="P150" s="28">
        <f t="shared" si="90"/>
        <v>0.57641081240512337</v>
      </c>
      <c r="Q150" s="28">
        <f t="shared" si="91"/>
        <v>-0.43327378776312825</v>
      </c>
      <c r="R150" s="28">
        <f t="shared" si="92"/>
        <v>-0.13256786530265302</v>
      </c>
      <c r="S150" s="28">
        <f t="shared" si="93"/>
        <v>0.98531022185861761</v>
      </c>
      <c r="T150" s="28">
        <f t="shared" si="94"/>
        <v>-1.4498540762064209</v>
      </c>
      <c r="U150" s="28">
        <f t="shared" si="95"/>
        <v>-0.3319759890451503</v>
      </c>
      <c r="V150" s="28">
        <f t="shared" si="96"/>
        <v>635.37210383679462</v>
      </c>
      <c r="W150" s="28">
        <f t="shared" si="97"/>
        <v>415.65444087026015</v>
      </c>
      <c r="X150" s="28">
        <f t="shared" si="98"/>
        <v>-15.218385267028999</v>
      </c>
      <c r="Y150" s="28">
        <f t="shared" si="99"/>
        <v>124.11358405272239</v>
      </c>
      <c r="Z150" s="28">
        <f t="shared" si="100"/>
        <v>80.385693646783096</v>
      </c>
      <c r="AA150" s="28">
        <f t="shared" si="101"/>
        <v>1306.8383817895121</v>
      </c>
      <c r="AB150" s="32">
        <f t="shared" si="102"/>
        <v>1387.2240754362952</v>
      </c>
      <c r="AC150" s="22">
        <f>INDEX(Data_Cert!$E$4:$E$195,MATCH($A150,Data_Cert!$A$4:$A$195,0))</f>
        <v>1544.86</v>
      </c>
      <c r="AD150" s="22">
        <f t="shared" si="103"/>
        <v>-157.63592456370475</v>
      </c>
      <c r="AE150" s="23">
        <f t="shared" si="104"/>
        <v>-0.10203897088649118</v>
      </c>
      <c r="AF150" s="36">
        <f>Data_Stock!D150</f>
        <v>1399.25</v>
      </c>
    </row>
    <row r="151" spans="1:32" x14ac:dyDescent="0.2">
      <c r="A151" s="35">
        <f>Data_Stock!A151</f>
        <v>46122</v>
      </c>
      <c r="B151" s="36">
        <f>Data_Stock!B151</f>
        <v>1449.31</v>
      </c>
      <c r="C151" s="37">
        <f>Data_Stock!C151</f>
        <v>0.55900000000000005</v>
      </c>
      <c r="D151" s="38">
        <f t="shared" si="84"/>
        <v>1.189041095890411</v>
      </c>
      <c r="E151" s="28">
        <f>INDEX(Data_Svensson!$B$4:$B$202,MATCH($A151,Data_Svensson!$A$4:$A$202,1))</f>
        <v>1.216572</v>
      </c>
      <c r="F151" s="28">
        <f>INDEX(Data_Svensson!$C$4:$C$202,MATCH($A151,Data_Svensson!$A$4:$A$202,1))</f>
        <v>0.700048</v>
      </c>
      <c r="G151" s="28">
        <f>INDEX(Data_Svensson!$D$4:$D$202,MATCH($A151,Data_Svensson!$A$4:$A$202,1))</f>
        <v>1.9751719999999999</v>
      </c>
      <c r="H151" s="28">
        <f>INDEX(Data_Svensson!$E$4:$E$202,MATCH($A151,Data_Svensson!$A$4:$A$202,1))</f>
        <v>7.5660610000000004</v>
      </c>
      <c r="I151" s="28">
        <f>INDEX(Data_Svensson!$F$4:$F$202,MATCH($A151,Data_Svensson!$A$4:$A$202,1))</f>
        <v>0.86263900000000004</v>
      </c>
      <c r="J151" s="28">
        <f>INDEX(Data_Svensson!$G$4:$G$202,MATCH($A151,Data_Svensson!$A$4:$A$202,1))</f>
        <v>14.759304</v>
      </c>
      <c r="K151" s="28">
        <f t="shared" si="85"/>
        <v>0.54267665970199086</v>
      </c>
      <c r="L151" s="28">
        <f t="shared" si="86"/>
        <v>0.29068927003632866</v>
      </c>
      <c r="M151" s="28">
        <f t="shared" si="87"/>
        <v>3.8181627715183852E-2</v>
      </c>
      <c r="N151" s="29">
        <f t="shared" si="88"/>
        <v>2.4595175415196263E-2</v>
      </c>
      <c r="O151" s="29">
        <f t="shared" si="89"/>
        <v>1.8595175415196265E-2</v>
      </c>
      <c r="P151" s="28">
        <f t="shared" si="90"/>
        <v>0.60955126993956099</v>
      </c>
      <c r="Q151" s="28">
        <f t="shared" si="91"/>
        <v>-0.44049182057406289</v>
      </c>
      <c r="R151" s="28">
        <f t="shared" si="92"/>
        <v>-0.18730630545583032</v>
      </c>
      <c r="S151" s="28">
        <f t="shared" si="93"/>
        <v>0.86979429980482892</v>
      </c>
      <c r="T151" s="28">
        <f t="shared" si="94"/>
        <v>-1.2447970624441844</v>
      </c>
      <c r="U151" s="28">
        <f t="shared" si="95"/>
        <v>-0.18769645718352529</v>
      </c>
      <c r="V151" s="28">
        <f t="shared" si="96"/>
        <v>702.68124141006194</v>
      </c>
      <c r="W151" s="28">
        <f t="shared" si="97"/>
        <v>495.18641337863767</v>
      </c>
      <c r="X151" s="28">
        <f t="shared" si="98"/>
        <v>-24.79174439276845</v>
      </c>
      <c r="Y151" s="28">
        <f t="shared" si="99"/>
        <v>121.71191586923629</v>
      </c>
      <c r="Z151" s="28">
        <f t="shared" si="100"/>
        <v>60.991167769419519</v>
      </c>
      <c r="AA151" s="28">
        <f t="shared" si="101"/>
        <v>1239.6763843289318</v>
      </c>
      <c r="AB151" s="32">
        <f t="shared" si="102"/>
        <v>1300.6675520983513</v>
      </c>
      <c r="AC151" s="22">
        <f>INDEX(Data_Cert!$E$4:$E$195,MATCH($A151,Data_Cert!$A$4:$A$195,0))</f>
        <v>1479.96</v>
      </c>
      <c r="AD151" s="22">
        <f t="shared" si="103"/>
        <v>-179.29244790164876</v>
      </c>
      <c r="AE151" s="23">
        <f t="shared" si="104"/>
        <v>-0.12114682011787396</v>
      </c>
      <c r="AF151" s="36">
        <f>Data_Stock!D151</f>
        <v>1309.08</v>
      </c>
    </row>
    <row r="152" spans="1:32" x14ac:dyDescent="0.2">
      <c r="A152" s="35">
        <f>Data_Stock!A152</f>
        <v>46125</v>
      </c>
      <c r="B152" s="36">
        <f>Data_Stock!B152</f>
        <v>1480.6</v>
      </c>
      <c r="C152" s="37">
        <f>Data_Stock!C152</f>
        <v>0.54800000000000004</v>
      </c>
      <c r="D152" s="38">
        <f t="shared" si="84"/>
        <v>1.1808219178082191</v>
      </c>
      <c r="E152" s="28">
        <f>INDEX(Data_Svensson!$B$4:$B$202,MATCH($A152,Data_Svensson!$A$4:$A$202,1))</f>
        <v>1.1999029999999999</v>
      </c>
      <c r="F152" s="28">
        <f>INDEX(Data_Svensson!$C$4:$C$202,MATCH($A152,Data_Svensson!$A$4:$A$202,1))</f>
        <v>0.698546</v>
      </c>
      <c r="G152" s="28">
        <f>INDEX(Data_Svensson!$D$4:$D$202,MATCH($A152,Data_Svensson!$A$4:$A$202,1))</f>
        <v>2.2559670000000001</v>
      </c>
      <c r="H152" s="28">
        <f>INDEX(Data_Svensson!$E$4:$E$202,MATCH($A152,Data_Svensson!$A$4:$A$202,1))</f>
        <v>7.6427490000000002</v>
      </c>
      <c r="I152" s="28">
        <f>INDEX(Data_Svensson!$F$4:$F$202,MATCH($A152,Data_Svensson!$A$4:$A$202,1))</f>
        <v>0.81556899999999999</v>
      </c>
      <c r="J152" s="28">
        <f>INDEX(Data_Svensson!$G$4:$G$202,MATCH($A152,Data_Svensson!$A$4:$A$202,1))</f>
        <v>14.574827000000001</v>
      </c>
      <c r="K152" s="28">
        <f t="shared" si="85"/>
        <v>0.52831765761788974</v>
      </c>
      <c r="L152" s="28">
        <f t="shared" si="86"/>
        <v>0.29324259919892415</v>
      </c>
      <c r="M152" s="28">
        <f t="shared" si="87"/>
        <v>3.8386046490742509E-2</v>
      </c>
      <c r="N152" s="29">
        <f t="shared" si="88"/>
        <v>2.5238777316764213E-2</v>
      </c>
      <c r="O152" s="29">
        <f t="shared" si="89"/>
        <v>1.9238777316764211E-2</v>
      </c>
      <c r="P152" s="28">
        <f t="shared" si="90"/>
        <v>0.59548765327710995</v>
      </c>
      <c r="Q152" s="28">
        <f t="shared" si="91"/>
        <v>-0.43593566080783402</v>
      </c>
      <c r="R152" s="28">
        <f t="shared" si="92"/>
        <v>-0.16907055326641135</v>
      </c>
      <c r="S152" s="28">
        <f t="shared" si="93"/>
        <v>0.91299556992600706</v>
      </c>
      <c r="T152" s="28">
        <f t="shared" si="94"/>
        <v>-1.3232749938327319</v>
      </c>
      <c r="U152" s="28">
        <f t="shared" si="95"/>
        <v>-0.24120887064031343</v>
      </c>
      <c r="V152" s="28">
        <f t="shared" si="96"/>
        <v>676.02884527073445</v>
      </c>
      <c r="W152" s="28">
        <f t="shared" si="97"/>
        <v>463.2693895571299</v>
      </c>
      <c r="X152" s="28">
        <f t="shared" si="98"/>
        <v>-20.602016938073163</v>
      </c>
      <c r="Y152" s="28">
        <f t="shared" si="99"/>
        <v>123.75580625215838</v>
      </c>
      <c r="Z152" s="28">
        <f t="shared" si="100"/>
        <v>68.401632523372996</v>
      </c>
      <c r="AA152" s="28">
        <f t="shared" si="101"/>
        <v>1265.2455828835659</v>
      </c>
      <c r="AB152" s="32">
        <f t="shared" si="102"/>
        <v>1333.6472154069388</v>
      </c>
      <c r="AC152" s="22">
        <f>INDEX(Data_Cert!$E$4:$E$195,MATCH($A152,Data_Cert!$A$4:$A$195,0))</f>
        <v>1509.88</v>
      </c>
      <c r="AD152" s="22">
        <f t="shared" si="103"/>
        <v>-176.2327845930613</v>
      </c>
      <c r="AE152" s="23">
        <f t="shared" si="104"/>
        <v>-0.11671972911295023</v>
      </c>
      <c r="AF152" s="36">
        <f>Data_Stock!D152</f>
        <v>1349.45</v>
      </c>
    </row>
    <row r="153" spans="1:32" x14ac:dyDescent="0.2">
      <c r="A153" s="35">
        <f>Data_Stock!A153</f>
        <v>46126</v>
      </c>
      <c r="B153" s="36">
        <f>Data_Stock!B153</f>
        <v>1471.89</v>
      </c>
      <c r="C153" s="37">
        <f>Data_Stock!C153</f>
        <v>0.53200000000000003</v>
      </c>
      <c r="D153" s="38">
        <f t="shared" si="84"/>
        <v>1.178082191780822</v>
      </c>
      <c r="E153" s="28">
        <f>INDEX(Data_Svensson!$B$4:$B$202,MATCH($A153,Data_Svensson!$A$4:$A$202,1))</f>
        <v>1.175165</v>
      </c>
      <c r="F153" s="28">
        <f>INDEX(Data_Svensson!$C$4:$C$202,MATCH($A153,Data_Svensson!$A$4:$A$202,1))</f>
        <v>0.67905000000000004</v>
      </c>
      <c r="G153" s="28">
        <f>INDEX(Data_Svensson!$D$4:$D$202,MATCH($A153,Data_Svensson!$A$4:$A$202,1))</f>
        <v>2.2179000000000002</v>
      </c>
      <c r="H153" s="28">
        <f>INDEX(Data_Svensson!$E$4:$E$202,MATCH($A153,Data_Svensson!$A$4:$A$202,1))</f>
        <v>7.7435219999999996</v>
      </c>
      <c r="I153" s="28">
        <f>INDEX(Data_Svensson!$F$4:$F$202,MATCH($A153,Data_Svensson!$A$4:$A$202,1))</f>
        <v>0.80648299999999995</v>
      </c>
      <c r="J153" s="28">
        <f>INDEX(Data_Svensson!$G$4:$G$202,MATCH($A153,Data_Svensson!$A$4:$A$202,1))</f>
        <v>14.585621</v>
      </c>
      <c r="K153" s="28">
        <f t="shared" si="85"/>
        <v>0.52571173258149895</v>
      </c>
      <c r="L153" s="28">
        <f t="shared" si="86"/>
        <v>0.29365306570880062</v>
      </c>
      <c r="M153" s="28">
        <f t="shared" si="87"/>
        <v>3.8274921792078032E-2</v>
      </c>
      <c r="N153" s="29">
        <f t="shared" si="88"/>
        <v>2.4798253853902517E-2</v>
      </c>
      <c r="O153" s="29">
        <f t="shared" si="89"/>
        <v>1.8798253853902519E-2</v>
      </c>
      <c r="P153" s="28">
        <f t="shared" si="90"/>
        <v>0.57743011200194216</v>
      </c>
      <c r="Q153" s="28">
        <f t="shared" si="91"/>
        <v>-0.43358070745271599</v>
      </c>
      <c r="R153" s="28">
        <f t="shared" si="92"/>
        <v>-0.20390560456411455</v>
      </c>
      <c r="S153" s="28">
        <f t="shared" si="93"/>
        <v>0.91199916555003224</v>
      </c>
      <c r="T153" s="28">
        <f t="shared" si="94"/>
        <v>-1.3737688245929007</v>
      </c>
      <c r="U153" s="28">
        <f t="shared" si="95"/>
        <v>-0.25786405447875416</v>
      </c>
      <c r="V153" s="28">
        <f t="shared" si="96"/>
        <v>671.4920210799213</v>
      </c>
      <c r="W153" s="28">
        <f t="shared" si="97"/>
        <v>452.3363962204175</v>
      </c>
      <c r="X153" s="28">
        <f t="shared" si="98"/>
        <v>-18.060092848691397</v>
      </c>
      <c r="Y153" s="28">
        <f t="shared" si="99"/>
        <v>128.30094952634425</v>
      </c>
      <c r="Z153" s="28">
        <f t="shared" si="100"/>
        <v>72.794582484468151</v>
      </c>
      <c r="AA153" s="28">
        <f t="shared" si="101"/>
        <v>1270.9244455389539</v>
      </c>
      <c r="AB153" s="32">
        <f t="shared" si="102"/>
        <v>1343.7190280234222</v>
      </c>
      <c r="AC153" s="22">
        <f>INDEX(Data_Cert!$E$4:$E$195,MATCH($A153,Data_Cert!$A$4:$A$195,0))</f>
        <v>1510.72</v>
      </c>
      <c r="AD153" s="22">
        <f t="shared" si="103"/>
        <v>-167.00097197657783</v>
      </c>
      <c r="AE153" s="23">
        <f t="shared" si="104"/>
        <v>-0.11054396048015372</v>
      </c>
      <c r="AF153" s="36">
        <f>Data_Stock!D153</f>
        <v>1357.88</v>
      </c>
    </row>
    <row r="154" spans="1:32" x14ac:dyDescent="0.2">
      <c r="A154" s="35">
        <f>Data_Stock!A154</f>
        <v>46127</v>
      </c>
      <c r="B154" s="36">
        <f>Data_Stock!B154</f>
        <v>1500.2</v>
      </c>
      <c r="C154" s="37">
        <f>Data_Stock!C154</f>
        <v>0.52100000000000002</v>
      </c>
      <c r="D154" s="38">
        <f t="shared" si="84"/>
        <v>1.1753424657534246</v>
      </c>
      <c r="E154" s="28">
        <f>INDEX(Data_Svensson!$B$4:$B$202,MATCH($A154,Data_Svensson!$A$4:$A$202,1))</f>
        <v>1.1780250000000001</v>
      </c>
      <c r="F154" s="28">
        <f>INDEX(Data_Svensson!$C$4:$C$202,MATCH($A154,Data_Svensson!$A$4:$A$202,1))</f>
        <v>0.72097199999999995</v>
      </c>
      <c r="G154" s="28">
        <f>INDEX(Data_Svensson!$D$4:$D$202,MATCH($A154,Data_Svensson!$A$4:$A$202,1))</f>
        <v>1.991447</v>
      </c>
      <c r="H154" s="28">
        <f>INDEX(Data_Svensson!$E$4:$E$202,MATCH($A154,Data_Svensson!$A$4:$A$202,1))</f>
        <v>7.6987170000000003</v>
      </c>
      <c r="I154" s="28">
        <f>INDEX(Data_Svensson!$F$4:$F$202,MATCH($A154,Data_Svensson!$A$4:$A$202,1))</f>
        <v>0.80838399999999999</v>
      </c>
      <c r="J154" s="28">
        <f>INDEX(Data_Svensson!$G$4:$G$202,MATCH($A154,Data_Svensson!$A$4:$A$202,1))</f>
        <v>14.615936</v>
      </c>
      <c r="K154" s="28">
        <f t="shared" si="85"/>
        <v>0.52708631088095803</v>
      </c>
      <c r="L154" s="28">
        <f t="shared" si="86"/>
        <v>0.29343859432014208</v>
      </c>
      <c r="M154" s="28">
        <f t="shared" si="87"/>
        <v>3.8115666804347748E-2</v>
      </c>
      <c r="N154" s="29">
        <f t="shared" si="88"/>
        <v>2.4358486120644979E-2</v>
      </c>
      <c r="O154" s="29">
        <f t="shared" si="89"/>
        <v>1.835848612064498E-2</v>
      </c>
      <c r="P154" s="28">
        <f t="shared" si="90"/>
        <v>0.56483283743650681</v>
      </c>
      <c r="Q154" s="28">
        <f t="shared" si="91"/>
        <v>-0.4323665690863025</v>
      </c>
      <c r="R154" s="28">
        <f t="shared" si="92"/>
        <v>-0.18846845559096304</v>
      </c>
      <c r="S154" s="28">
        <f t="shared" si="93"/>
        <v>0.95232395887793897</v>
      </c>
      <c r="T154" s="28">
        <f t="shared" si="94"/>
        <v>-1.4518803705332348</v>
      </c>
      <c r="U154" s="28">
        <f t="shared" si="95"/>
        <v>-0.3110879560643327</v>
      </c>
      <c r="V154" s="28">
        <f t="shared" si="96"/>
        <v>648.84657434045687</v>
      </c>
      <c r="W154" s="28">
        <f t="shared" si="97"/>
        <v>424.74496459799798</v>
      </c>
      <c r="X154" s="28">
        <f t="shared" si="98"/>
        <v>-14.941339189039084</v>
      </c>
      <c r="Y154" s="28">
        <f t="shared" si="99"/>
        <v>128.75713528392356</v>
      </c>
      <c r="Z154" s="28">
        <f t="shared" si="100"/>
        <v>80.403135269496261</v>
      </c>
      <c r="AA154" s="28">
        <f t="shared" si="101"/>
        <v>1294.7061848418762</v>
      </c>
      <c r="AB154" s="32">
        <f t="shared" si="102"/>
        <v>1375.1093201113724</v>
      </c>
      <c r="AC154" s="22">
        <f>INDEX(Data_Cert!$E$4:$E$195,MATCH($A154,Data_Cert!$A$4:$A$195,0))</f>
        <v>1532.21</v>
      </c>
      <c r="AD154" s="22">
        <f t="shared" si="103"/>
        <v>-157.10067988862761</v>
      </c>
      <c r="AE154" s="23">
        <f t="shared" si="104"/>
        <v>-0.10253208103890955</v>
      </c>
      <c r="AF154" s="36">
        <f>Data_Stock!D154</f>
        <v>1376.33</v>
      </c>
    </row>
    <row r="155" spans="1:32" x14ac:dyDescent="0.2">
      <c r="A155" s="35">
        <f>Data_Stock!A155</f>
        <v>46128</v>
      </c>
      <c r="B155" s="36">
        <f>Data_Stock!B155</f>
        <v>1482.38</v>
      </c>
      <c r="C155" s="37">
        <f>Data_Stock!C155</f>
        <v>0.50700000000000001</v>
      </c>
      <c r="D155" s="38">
        <f t="shared" si="84"/>
        <v>1.1726027397260275</v>
      </c>
      <c r="E155" s="28">
        <f>INDEX(Data_Svensson!$B$4:$B$202,MATCH($A155,Data_Svensson!$A$4:$A$202,1))</f>
        <v>1.205362</v>
      </c>
      <c r="F155" s="28">
        <f>INDEX(Data_Svensson!$C$4:$C$202,MATCH($A155,Data_Svensson!$A$4:$A$202,1))</f>
        <v>0.75832100000000002</v>
      </c>
      <c r="G155" s="28">
        <f>INDEX(Data_Svensson!$D$4:$D$202,MATCH($A155,Data_Svensson!$A$4:$A$202,1))</f>
        <v>1.826325</v>
      </c>
      <c r="H155" s="28">
        <f>INDEX(Data_Svensson!$E$4:$E$202,MATCH($A155,Data_Svensson!$A$4:$A$202,1))</f>
        <v>7.6159720000000002</v>
      </c>
      <c r="I155" s="28">
        <f>INDEX(Data_Svensson!$F$4:$F$202,MATCH($A155,Data_Svensson!$A$4:$A$202,1))</f>
        <v>0.84175800000000001</v>
      </c>
      <c r="J155" s="28">
        <f>INDEX(Data_Svensson!$G$4:$G$202,MATCH($A155,Data_Svensson!$A$4:$A$202,1))</f>
        <v>14.950549000000001</v>
      </c>
      <c r="K155" s="28">
        <f t="shared" si="85"/>
        <v>0.53959733664211373</v>
      </c>
      <c r="L155" s="28">
        <f t="shared" si="86"/>
        <v>0.29127812291965449</v>
      </c>
      <c r="M155" s="28">
        <f t="shared" si="87"/>
        <v>3.7224581348775709E-2</v>
      </c>
      <c r="N155" s="29">
        <f t="shared" si="88"/>
        <v>2.4300198790250204E-2</v>
      </c>
      <c r="O155" s="29">
        <f t="shared" si="89"/>
        <v>1.8300198790250202E-2</v>
      </c>
      <c r="P155" s="28">
        <f t="shared" si="90"/>
        <v>0.54901399038989496</v>
      </c>
      <c r="Q155" s="28">
        <f t="shared" si="91"/>
        <v>-0.42880657465988897</v>
      </c>
      <c r="R155" s="28">
        <f t="shared" si="92"/>
        <v>-0.23192711745980837</v>
      </c>
      <c r="S155" s="28">
        <f t="shared" si="93"/>
        <v>0.94173517106021332</v>
      </c>
      <c r="T155" s="28">
        <f t="shared" si="94"/>
        <v>-1.4882110961193411</v>
      </c>
      <c r="U155" s="28">
        <f t="shared" si="95"/>
        <v>-0.31454880759931986</v>
      </c>
      <c r="V155" s="28">
        <f t="shared" si="96"/>
        <v>650.21502628238966</v>
      </c>
      <c r="W155" s="28">
        <f t="shared" si="97"/>
        <v>420.11921899170085</v>
      </c>
      <c r="X155" s="28">
        <f t="shared" si="98"/>
        <v>-13.465810128039813</v>
      </c>
      <c r="Y155" s="28">
        <f t="shared" si="99"/>
        <v>132.85630641162123</v>
      </c>
      <c r="Z155" s="28">
        <f t="shared" si="100"/>
        <v>83.773690751027772</v>
      </c>
      <c r="AA155" s="28">
        <f t="shared" si="101"/>
        <v>1293.6002924680274</v>
      </c>
      <c r="AB155" s="32">
        <f t="shared" si="102"/>
        <v>1377.3739832190552</v>
      </c>
      <c r="AC155" s="22">
        <f>INDEX(Data_Cert!$E$4:$E$195,MATCH($A155,Data_Cert!$A$4:$A$195,0))</f>
        <v>1525.26</v>
      </c>
      <c r="AD155" s="22">
        <f t="shared" si="103"/>
        <v>-147.88601678094483</v>
      </c>
      <c r="AE155" s="23">
        <f t="shared" si="104"/>
        <v>-9.6957906705050181E-2</v>
      </c>
      <c r="AF155" s="36">
        <f>Data_Stock!D155</f>
        <v>1379.52</v>
      </c>
    </row>
    <row r="156" spans="1:32" x14ac:dyDescent="0.2">
      <c r="A156" s="35">
        <f>Data_Stock!A156</f>
        <v>46129</v>
      </c>
      <c r="B156" s="36">
        <f>Data_Stock!B156</f>
        <v>1480.4</v>
      </c>
      <c r="C156" s="37">
        <f>Data_Stock!C156</f>
        <v>0.49199999999999999</v>
      </c>
      <c r="D156" s="38">
        <f t="shared" si="84"/>
        <v>1.1698630136986301</v>
      </c>
      <c r="E156" s="28">
        <f>INDEX(Data_Svensson!$B$4:$B$202,MATCH($A156,Data_Svensson!$A$4:$A$202,1))</f>
        <v>1.2103569999999999</v>
      </c>
      <c r="F156" s="28">
        <f>INDEX(Data_Svensson!$C$4:$C$202,MATCH($A156,Data_Svensson!$A$4:$A$202,1))</f>
        <v>0.75433399999999995</v>
      </c>
      <c r="G156" s="28">
        <f>INDEX(Data_Svensson!$D$4:$D$202,MATCH($A156,Data_Svensson!$A$4:$A$202,1))</f>
        <v>1.6779550000000001</v>
      </c>
      <c r="H156" s="28">
        <f>INDEX(Data_Svensson!$E$4:$E$202,MATCH($A156,Data_Svensson!$A$4:$A$202,1))</f>
        <v>7.542586</v>
      </c>
      <c r="I156" s="28">
        <f>INDEX(Data_Svensson!$F$4:$F$202,MATCH($A156,Data_Svensson!$A$4:$A$202,1))</f>
        <v>0.76974799999999999</v>
      </c>
      <c r="J156" s="28">
        <f>INDEX(Data_Svensson!$G$4:$G$202,MATCH($A156,Data_Svensson!$A$4:$A$202,1))</f>
        <v>15.082082</v>
      </c>
      <c r="K156" s="28">
        <f t="shared" si="85"/>
        <v>0.51404419333494811</v>
      </c>
      <c r="L156" s="28">
        <f t="shared" si="86"/>
        <v>0.29528856056825525</v>
      </c>
      <c r="M156" s="28">
        <f t="shared" si="87"/>
        <v>3.6834838601932707E-2</v>
      </c>
      <c r="N156" s="29">
        <f t="shared" si="88"/>
        <v>2.3714288671346288E-2</v>
      </c>
      <c r="O156" s="29">
        <f t="shared" si="89"/>
        <v>1.7714288671346286E-2</v>
      </c>
      <c r="P156" s="28">
        <f t="shared" si="90"/>
        <v>0.5321482129519417</v>
      </c>
      <c r="Q156" s="28">
        <f t="shared" si="91"/>
        <v>-0.42681981347351827</v>
      </c>
      <c r="R156" s="28">
        <f t="shared" si="92"/>
        <v>-0.2603047501693479</v>
      </c>
      <c r="S156" s="28">
        <f t="shared" si="93"/>
        <v>0.95055530856527581</v>
      </c>
      <c r="T156" s="28">
        <f t="shared" si="94"/>
        <v>-1.5513817433808441</v>
      </c>
      <c r="U156" s="28">
        <f t="shared" si="95"/>
        <v>-0.34052168464622007</v>
      </c>
      <c r="V156" s="28">
        <f t="shared" si="96"/>
        <v>642.91912300702234</v>
      </c>
      <c r="W156" s="28">
        <f t="shared" si="97"/>
        <v>405.91003619571529</v>
      </c>
      <c r="X156" s="28">
        <f t="shared" si="98"/>
        <v>-11.377622520163278</v>
      </c>
      <c r="Y156" s="28">
        <f t="shared" si="99"/>
        <v>135.63458243660801</v>
      </c>
      <c r="Z156" s="28">
        <f t="shared" si="100"/>
        <v>89.996881854535758</v>
      </c>
      <c r="AA156" s="28">
        <f t="shared" si="101"/>
        <v>1302.3585149750234</v>
      </c>
      <c r="AB156" s="32">
        <f t="shared" si="102"/>
        <v>1392.3553968295591</v>
      </c>
      <c r="AC156" s="22">
        <f>INDEX(Data_Cert!$E$4:$E$195,MATCH($A156,Data_Cert!$A$4:$A$195,0))</f>
        <v>1531.27</v>
      </c>
      <c r="AD156" s="22">
        <f t="shared" si="103"/>
        <v>-138.91460317044084</v>
      </c>
      <c r="AE156" s="23">
        <f t="shared" si="104"/>
        <v>-9.0718555950577526E-2</v>
      </c>
      <c r="AF156" s="36">
        <f>Data_Stock!D156</f>
        <v>1409.71</v>
      </c>
    </row>
    <row r="157" spans="1:32" x14ac:dyDescent="0.2">
      <c r="A157" s="35">
        <f>Data_Stock!A157</f>
        <v>46132</v>
      </c>
      <c r="B157" s="36">
        <f>Data_Stock!B157</f>
        <v>1461.19</v>
      </c>
      <c r="C157" s="37">
        <f>Data_Stock!C157</f>
        <v>0.48</v>
      </c>
      <c r="D157" s="38">
        <f t="shared" si="84"/>
        <v>1.1616438356164382</v>
      </c>
      <c r="E157" s="28">
        <f>INDEX(Data_Svensson!$B$4:$B$202,MATCH($A157,Data_Svensson!$A$4:$A$202,1))</f>
        <v>1.1857219999999999</v>
      </c>
      <c r="F157" s="28">
        <f>INDEX(Data_Svensson!$C$4:$C$202,MATCH($A157,Data_Svensson!$A$4:$A$202,1))</f>
        <v>0.77322299999999999</v>
      </c>
      <c r="G157" s="28">
        <f>INDEX(Data_Svensson!$D$4:$D$202,MATCH($A157,Data_Svensson!$A$4:$A$202,1))</f>
        <v>1.7368440000000001</v>
      </c>
      <c r="H157" s="28">
        <f>INDEX(Data_Svensson!$E$4:$E$202,MATCH($A157,Data_Svensson!$A$4:$A$202,1))</f>
        <v>7.6381389999999998</v>
      </c>
      <c r="I157" s="28">
        <f>INDEX(Data_Svensson!$F$4:$F$202,MATCH($A157,Data_Svensson!$A$4:$A$202,1))</f>
        <v>0.77549299999999999</v>
      </c>
      <c r="J157" s="28">
        <f>INDEX(Data_Svensson!$G$4:$G$202,MATCH($A157,Data_Svensson!$A$4:$A$202,1))</f>
        <v>14.950875999999999</v>
      </c>
      <c r="K157" s="28">
        <f t="shared" si="85"/>
        <v>0.5183178327620318</v>
      </c>
      <c r="L157" s="28">
        <f t="shared" si="86"/>
        <v>0.29472808445751603</v>
      </c>
      <c r="M157" s="28">
        <f t="shared" si="87"/>
        <v>3.6893829811848522E-2</v>
      </c>
      <c r="N157" s="29">
        <f t="shared" si="88"/>
        <v>2.3801941750685295E-2</v>
      </c>
      <c r="O157" s="29">
        <f t="shared" si="89"/>
        <v>1.7801941750685293E-2</v>
      </c>
      <c r="P157" s="28">
        <f t="shared" si="90"/>
        <v>0.51734199493761124</v>
      </c>
      <c r="Q157" s="28">
        <f t="shared" si="91"/>
        <v>-0.4227346278182062</v>
      </c>
      <c r="R157" s="28">
        <f t="shared" si="92"/>
        <v>-0.30810397016776658</v>
      </c>
      <c r="S157" s="28">
        <f t="shared" si="93"/>
        <v>0.93741064626738169</v>
      </c>
      <c r="T157" s="28">
        <f t="shared" si="94"/>
        <v>-1.5856380241966666</v>
      </c>
      <c r="U157" s="28">
        <f t="shared" si="95"/>
        <v>-0.34012340776151828</v>
      </c>
      <c r="V157" s="28">
        <f t="shared" si="96"/>
        <v>646.40300798387966</v>
      </c>
      <c r="W157" s="28">
        <f t="shared" si="97"/>
        <v>403.16474505106248</v>
      </c>
      <c r="X157" s="28">
        <f t="shared" si="98"/>
        <v>-10.270806221040921</v>
      </c>
      <c r="Y157" s="28">
        <f t="shared" si="99"/>
        <v>139.66716573835993</v>
      </c>
      <c r="Z157" s="28">
        <f t="shared" si="100"/>
        <v>93.300290973416338</v>
      </c>
      <c r="AA157" s="28">
        <f t="shared" si="101"/>
        <v>1299.0557249106882</v>
      </c>
      <c r="AB157" s="32">
        <f t="shared" si="102"/>
        <v>1392.3560158841046</v>
      </c>
      <c r="AC157" s="22">
        <f>INDEX(Data_Cert!$E$4:$E$195,MATCH($A157,Data_Cert!$A$4:$A$195,0))</f>
        <v>1511.52</v>
      </c>
      <c r="AD157" s="22">
        <f t="shared" si="103"/>
        <v>-119.16398411589535</v>
      </c>
      <c r="AE157" s="23">
        <f t="shared" si="104"/>
        <v>-7.8837186485058316E-2</v>
      </c>
      <c r="AF157" s="36">
        <f>Data_Stock!D157</f>
        <v>1412.29</v>
      </c>
    </row>
    <row r="158" spans="1:32" x14ac:dyDescent="0.2">
      <c r="A158" s="35">
        <f>Data_Stock!A158</f>
        <v>46133</v>
      </c>
      <c r="B158" s="36">
        <f>Data_Stock!B158</f>
        <v>1416.84</v>
      </c>
      <c r="C158" s="37">
        <f>Data_Stock!C158</f>
        <v>0.48</v>
      </c>
      <c r="D158" s="38">
        <f t="shared" si="84"/>
        <v>1.1589041095890411</v>
      </c>
      <c r="E158" s="28">
        <f>INDEX(Data_Svensson!$B$4:$B$202,MATCH($A158,Data_Svensson!$A$4:$A$202,1))</f>
        <v>1.1781079999999999</v>
      </c>
      <c r="F158" s="28">
        <f>INDEX(Data_Svensson!$C$4:$C$202,MATCH($A158,Data_Svensson!$A$4:$A$202,1))</f>
        <v>0.77095599999999997</v>
      </c>
      <c r="G158" s="28">
        <f>INDEX(Data_Svensson!$D$4:$D$202,MATCH($A158,Data_Svensson!$A$4:$A$202,1))</f>
        <v>1.8273189999999999</v>
      </c>
      <c r="H158" s="28">
        <f>INDEX(Data_Svensson!$E$4:$E$202,MATCH($A158,Data_Svensson!$A$4:$A$202,1))</f>
        <v>7.5447439999999997</v>
      </c>
      <c r="I158" s="28">
        <f>INDEX(Data_Svensson!$F$4:$F$202,MATCH($A158,Data_Svensson!$A$4:$A$202,1))</f>
        <v>0.81715599999999999</v>
      </c>
      <c r="J158" s="28">
        <f>INDEX(Data_Svensson!$G$4:$G$202,MATCH($A158,Data_Svensson!$A$4:$A$202,1))</f>
        <v>14.795908000000001</v>
      </c>
      <c r="K158" s="28">
        <f t="shared" si="85"/>
        <v>0.53437151946179573</v>
      </c>
      <c r="L158" s="28">
        <f t="shared" si="86"/>
        <v>0.29222601719737551</v>
      </c>
      <c r="M158" s="28">
        <f t="shared" si="87"/>
        <v>3.717683857757037E-2</v>
      </c>
      <c r="N158" s="29">
        <f t="shared" si="88"/>
        <v>2.4045648124743718E-2</v>
      </c>
      <c r="O158" s="29">
        <f t="shared" si="89"/>
        <v>1.804564812474372E-2</v>
      </c>
      <c r="P158" s="28">
        <f t="shared" si="90"/>
        <v>0.51673156169264034</v>
      </c>
      <c r="Q158" s="28">
        <f t="shared" si="91"/>
        <v>-0.42167687445857766</v>
      </c>
      <c r="R158" s="28">
        <f t="shared" si="92"/>
        <v>-0.36827479826292442</v>
      </c>
      <c r="S158" s="28">
        <f t="shared" si="93"/>
        <v>0.8787111885806399</v>
      </c>
      <c r="T158" s="28">
        <f t="shared" si="94"/>
        <v>-1.5280215517762283</v>
      </c>
      <c r="U158" s="28">
        <f t="shared" si="95"/>
        <v>-0.2810355649326638</v>
      </c>
      <c r="V158" s="28">
        <f t="shared" si="96"/>
        <v>673.56822596253141</v>
      </c>
      <c r="W158" s="28">
        <f t="shared" si="97"/>
        <v>430.62942895983048</v>
      </c>
      <c r="X158" s="28">
        <f t="shared" si="98"/>
        <v>-11.746277442935202</v>
      </c>
      <c r="Y158" s="28">
        <f t="shared" si="99"/>
        <v>144.79563533634035</v>
      </c>
      <c r="Z158" s="28">
        <f t="shared" si="100"/>
        <v>86.396884223425388</v>
      </c>
      <c r="AA158" s="28">
        <f t="shared" si="101"/>
        <v>1271.4679573258018</v>
      </c>
      <c r="AB158" s="32">
        <f t="shared" si="102"/>
        <v>1357.8648415492271</v>
      </c>
      <c r="AC158" s="22">
        <f>INDEX(Data_Cert!$E$4:$E$195,MATCH($A158,Data_Cert!$A$4:$A$195,0))</f>
        <v>1475.73</v>
      </c>
      <c r="AD158" s="22">
        <f t="shared" si="103"/>
        <v>-117.86515845077292</v>
      </c>
      <c r="AE158" s="23">
        <f t="shared" si="104"/>
        <v>-7.9869053587562036E-2</v>
      </c>
      <c r="AF158" s="36">
        <f>Data_Stock!D158</f>
        <v>1374.66</v>
      </c>
    </row>
    <row r="159" spans="1:32" x14ac:dyDescent="0.2">
      <c r="A159" s="35">
        <f>Data_Stock!A159</f>
        <v>46134</v>
      </c>
      <c r="B159" s="36">
        <f>Data_Stock!B159</f>
        <v>1408.72</v>
      </c>
      <c r="C159" s="37">
        <f>Data_Stock!C159</f>
        <v>0.46600000000000003</v>
      </c>
      <c r="D159" s="38">
        <f t="shared" si="84"/>
        <v>1.1561643835616437</v>
      </c>
      <c r="E159" s="28">
        <f>INDEX(Data_Svensson!$B$4:$B$202,MATCH($A159,Data_Svensson!$A$4:$A$202,1))</f>
        <v>1.1808609999999999</v>
      </c>
      <c r="F159" s="28">
        <f>INDEX(Data_Svensson!$C$4:$C$202,MATCH($A159,Data_Svensson!$A$4:$A$202,1))</f>
        <v>0.78703299999999998</v>
      </c>
      <c r="G159" s="28">
        <f>INDEX(Data_Svensson!$D$4:$D$202,MATCH($A159,Data_Svensson!$A$4:$A$202,1))</f>
        <v>1.8564579999999999</v>
      </c>
      <c r="H159" s="28">
        <f>INDEX(Data_Svensson!$E$4:$E$202,MATCH($A159,Data_Svensson!$A$4:$A$202,1))</f>
        <v>7.5277989999999999</v>
      </c>
      <c r="I159" s="28">
        <f>INDEX(Data_Svensson!$F$4:$F$202,MATCH($A159,Data_Svensson!$A$4:$A$202,1))</f>
        <v>0.86312599999999995</v>
      </c>
      <c r="J159" s="28">
        <f>INDEX(Data_Svensson!$G$4:$G$202,MATCH($A159,Data_Svensson!$A$4:$A$202,1))</f>
        <v>14.802084000000001</v>
      </c>
      <c r="K159" s="28">
        <f t="shared" si="85"/>
        <v>0.55096752253018533</v>
      </c>
      <c r="L159" s="28">
        <f t="shared" si="86"/>
        <v>0.28899305535922515</v>
      </c>
      <c r="M159" s="28">
        <f t="shared" si="87"/>
        <v>3.7078822608248352E-2</v>
      </c>
      <c r="N159" s="29">
        <f t="shared" si="88"/>
        <v>2.430116015477125E-2</v>
      </c>
      <c r="O159" s="29">
        <f t="shared" si="89"/>
        <v>1.8301160154771248E-2</v>
      </c>
      <c r="P159" s="28">
        <f t="shared" si="90"/>
        <v>0.50106689461259801</v>
      </c>
      <c r="Q159" s="28">
        <f t="shared" si="91"/>
        <v>-0.41572344234204328</v>
      </c>
      <c r="R159" s="28">
        <f t="shared" si="92"/>
        <v>-0.40667728419764626</v>
      </c>
      <c r="S159" s="28">
        <f t="shared" si="93"/>
        <v>0.87929275956008535</v>
      </c>
      <c r="T159" s="28">
        <f t="shared" si="94"/>
        <v>-1.5797395226365949</v>
      </c>
      <c r="U159" s="28">
        <f t="shared" si="95"/>
        <v>-0.29376947887886351</v>
      </c>
      <c r="V159" s="28">
        <f t="shared" si="96"/>
        <v>670.302951104302</v>
      </c>
      <c r="W159" s="28">
        <f t="shared" si="97"/>
        <v>420.4467570094032</v>
      </c>
      <c r="X159" s="28">
        <f t="shared" si="98"/>
        <v>-10.153027690310878</v>
      </c>
      <c r="Y159" s="28">
        <f t="shared" si="99"/>
        <v>148.20185249132214</v>
      </c>
      <c r="Z159" s="28">
        <f t="shared" si="100"/>
        <v>91.50131391326579</v>
      </c>
      <c r="AA159" s="28">
        <f t="shared" si="101"/>
        <v>1274.2868287201327</v>
      </c>
      <c r="AB159" s="32">
        <f t="shared" si="102"/>
        <v>1365.7881426333984</v>
      </c>
      <c r="AC159" s="22">
        <f>INDEX(Data_Cert!$E$4:$E$195,MATCH($A159,Data_Cert!$A$4:$A$195,0))</f>
        <v>1467.65</v>
      </c>
      <c r="AD159" s="22">
        <f t="shared" si="103"/>
        <v>-101.86185736660173</v>
      </c>
      <c r="AE159" s="23">
        <f t="shared" si="104"/>
        <v>-6.9404733667156146E-2</v>
      </c>
      <c r="AF159" s="36">
        <f>Data_Stock!D159</f>
        <v>1381.01</v>
      </c>
    </row>
    <row r="160" spans="1:32" x14ac:dyDescent="0.2">
      <c r="A160" s="35">
        <f>Data_Stock!A160</f>
        <v>46135</v>
      </c>
      <c r="B160" s="36">
        <f>Data_Stock!B160</f>
        <v>1393.08</v>
      </c>
      <c r="C160" s="37">
        <f>Data_Stock!C160</f>
        <v>0.45400000000000001</v>
      </c>
      <c r="D160" s="38">
        <f t="shared" si="84"/>
        <v>1.1534246575342466</v>
      </c>
      <c r="E160" s="28">
        <f>INDEX(Data_Svensson!$B$4:$B$202,MATCH($A160,Data_Svensson!$A$4:$A$202,1))</f>
        <v>1.175019</v>
      </c>
      <c r="F160" s="28">
        <f>INDEX(Data_Svensson!$C$4:$C$202,MATCH($A160,Data_Svensson!$A$4:$A$202,1))</f>
        <v>0.78432900000000005</v>
      </c>
      <c r="G160" s="28">
        <f>INDEX(Data_Svensson!$D$4:$D$202,MATCH($A160,Data_Svensson!$A$4:$A$202,1))</f>
        <v>2.0476190000000001</v>
      </c>
      <c r="H160" s="28">
        <f>INDEX(Data_Svensson!$E$4:$E$202,MATCH($A160,Data_Svensson!$A$4:$A$202,1))</f>
        <v>7.5509909999999998</v>
      </c>
      <c r="I160" s="28">
        <f>INDEX(Data_Svensson!$F$4:$F$202,MATCH($A160,Data_Svensson!$A$4:$A$202,1))</f>
        <v>0.84891300000000003</v>
      </c>
      <c r="J160" s="28">
        <f>INDEX(Data_Svensson!$G$4:$G$202,MATCH($A160,Data_Svensson!$A$4:$A$202,1))</f>
        <v>14.724602000000001</v>
      </c>
      <c r="K160" s="28">
        <f t="shared" si="85"/>
        <v>0.54684853587103355</v>
      </c>
      <c r="L160" s="28">
        <f t="shared" si="86"/>
        <v>0.2898558702034692</v>
      </c>
      <c r="M160" s="28">
        <f t="shared" si="87"/>
        <v>3.7180067819964857E-2</v>
      </c>
      <c r="N160" s="29">
        <f t="shared" si="88"/>
        <v>2.4781889098692934E-2</v>
      </c>
      <c r="O160" s="29">
        <f t="shared" si="89"/>
        <v>1.8781889098692932E-2</v>
      </c>
      <c r="P160" s="28">
        <f t="shared" si="90"/>
        <v>0.48758514816627541</v>
      </c>
      <c r="Q160" s="28">
        <f t="shared" si="91"/>
        <v>-0.40887709300251829</v>
      </c>
      <c r="R160" s="28">
        <f t="shared" si="92"/>
        <v>-0.45345295253141954</v>
      </c>
      <c r="S160" s="28">
        <f t="shared" si="93"/>
        <v>0.86807420803495572</v>
      </c>
      <c r="T160" s="28">
        <f t="shared" si="94"/>
        <v>-1.6131558682156382</v>
      </c>
      <c r="U160" s="28">
        <f t="shared" si="95"/>
        <v>-0.2916287076492628</v>
      </c>
      <c r="V160" s="28">
        <f t="shared" si="96"/>
        <v>673.03539422595077</v>
      </c>
      <c r="W160" s="28">
        <f t="shared" si="97"/>
        <v>417.19278569008077</v>
      </c>
      <c r="X160" s="28">
        <f t="shared" si="98"/>
        <v>-9.1686949542143878</v>
      </c>
      <c r="Y160" s="28">
        <f t="shared" si="99"/>
        <v>152.1652445242363</v>
      </c>
      <c r="Z160" s="28">
        <f t="shared" si="100"/>
        <v>94.508669057419297</v>
      </c>
      <c r="AA160" s="28">
        <f t="shared" si="101"/>
        <v>1270.6058398090963</v>
      </c>
      <c r="AB160" s="32">
        <f t="shared" si="102"/>
        <v>1365.1145088665157</v>
      </c>
      <c r="AC160" s="22">
        <f>INDEX(Data_Cert!$E$4:$E$195,MATCH($A160,Data_Cert!$A$4:$A$195,0))</f>
        <v>1448.44</v>
      </c>
      <c r="AD160" s="22">
        <f t="shared" si="103"/>
        <v>-83.32549113348432</v>
      </c>
      <c r="AE160" s="23">
        <f t="shared" si="104"/>
        <v>-5.7527747875979897E-2</v>
      </c>
      <c r="AF160" s="36">
        <f>Data_Stock!D160</f>
        <v>1382.78</v>
      </c>
    </row>
    <row r="161" spans="1:32" x14ac:dyDescent="0.2">
      <c r="A161" s="35">
        <f>Data_Stock!A161</f>
        <v>46136</v>
      </c>
      <c r="B161" s="36">
        <f>Data_Stock!B161</f>
        <v>1306.1400000000001</v>
      </c>
      <c r="C161" s="37">
        <f>Data_Stock!C161</f>
        <v>0.50600000000000001</v>
      </c>
      <c r="D161" s="38">
        <f t="shared" si="84"/>
        <v>1.1506849315068493</v>
      </c>
      <c r="E161" s="28">
        <f>INDEX(Data_Svensson!$B$4:$B$202,MATCH($A161,Data_Svensson!$A$4:$A$202,1))</f>
        <v>1.1926909999999999</v>
      </c>
      <c r="F161" s="28">
        <f>INDEX(Data_Svensson!$C$4:$C$202,MATCH($A161,Data_Svensson!$A$4:$A$202,1))</f>
        <v>0.76141999999999999</v>
      </c>
      <c r="G161" s="28">
        <f>INDEX(Data_Svensson!$D$4:$D$202,MATCH($A161,Data_Svensson!$A$4:$A$202,1))</f>
        <v>2.0920610000000002</v>
      </c>
      <c r="H161" s="28">
        <f>INDEX(Data_Svensson!$E$4:$E$202,MATCH($A161,Data_Svensson!$A$4:$A$202,1))</f>
        <v>7.4888510000000004</v>
      </c>
      <c r="I161" s="28">
        <f>INDEX(Data_Svensson!$F$4:$F$202,MATCH($A161,Data_Svensson!$A$4:$A$202,1))</f>
        <v>0.81012799999999996</v>
      </c>
      <c r="J161" s="28">
        <f>INDEX(Data_Svensson!$G$4:$G$202,MATCH($A161,Data_Svensson!$A$4:$A$202,1))</f>
        <v>14.594127</v>
      </c>
      <c r="K161" s="28">
        <f t="shared" si="85"/>
        <v>0.53392719170078451</v>
      </c>
      <c r="L161" s="28">
        <f t="shared" si="86"/>
        <v>0.29230361371293773</v>
      </c>
      <c r="M161" s="28">
        <f t="shared" si="87"/>
        <v>3.7410661110480192E-2</v>
      </c>
      <c r="N161" s="29">
        <f t="shared" si="88"/>
        <v>2.4909136995805947E-2</v>
      </c>
      <c r="O161" s="29">
        <f t="shared" si="89"/>
        <v>1.8909136995805945E-2</v>
      </c>
      <c r="P161" s="28">
        <f t="shared" si="90"/>
        <v>0.5427861154481457</v>
      </c>
      <c r="Q161" s="28">
        <f t="shared" si="91"/>
        <v>-0.42614656924883243</v>
      </c>
      <c r="R161" s="28">
        <f t="shared" si="92"/>
        <v>-0.47349058499492591</v>
      </c>
      <c r="S161" s="28">
        <f t="shared" si="93"/>
        <v>0.71363819013688934</v>
      </c>
      <c r="T161" s="28">
        <f t="shared" si="94"/>
        <v>-1.2778076162406693</v>
      </c>
      <c r="U161" s="28">
        <f t="shared" si="95"/>
        <v>-9.0678841108854047E-2</v>
      </c>
      <c r="V161" s="28">
        <f t="shared" si="96"/>
        <v>757.98876045415454</v>
      </c>
      <c r="W161" s="28">
        <f t="shared" si="97"/>
        <v>531.55117150579611</v>
      </c>
      <c r="X161" s="28">
        <f t="shared" si="98"/>
        <v>-21.261421304837185</v>
      </c>
      <c r="Y161" s="28">
        <f t="shared" si="99"/>
        <v>147.7866615655966</v>
      </c>
      <c r="Z161" s="28">
        <f t="shared" si="100"/>
        <v>57.389506077924636</v>
      </c>
      <c r="AA161" s="28">
        <f t="shared" si="101"/>
        <v>1185.4998519361573</v>
      </c>
      <c r="AB161" s="32">
        <f t="shared" si="102"/>
        <v>1242.8893580140818</v>
      </c>
      <c r="AC161" s="22">
        <f>INDEX(Data_Cert!$E$4:$E$195,MATCH($A161,Data_Cert!$A$4:$A$195,0))</f>
        <v>1390.4</v>
      </c>
      <c r="AD161" s="22">
        <f t="shared" si="103"/>
        <v>-147.51064198591826</v>
      </c>
      <c r="AE161" s="23">
        <f t="shared" si="104"/>
        <v>-0.10609223387940035</v>
      </c>
      <c r="AF161" s="36">
        <f>Data_Stock!D161</f>
        <v>1247.42</v>
      </c>
    </row>
    <row r="162" spans="1:32" x14ac:dyDescent="0.2">
      <c r="A162" s="35">
        <f>Data_Stock!A162</f>
        <v>46139</v>
      </c>
      <c r="B162" s="36">
        <f>Data_Stock!B162</f>
        <v>1332.48</v>
      </c>
      <c r="C162" s="37">
        <f>Data_Stock!C162</f>
        <v>0.497</v>
      </c>
      <c r="D162" s="38">
        <f t="shared" si="84"/>
        <v>1.1424657534246576</v>
      </c>
      <c r="E162" s="28">
        <f>INDEX(Data_Svensson!$B$4:$B$202,MATCH($A162,Data_Svensson!$A$4:$A$202,1))</f>
        <v>1.1823900000000001</v>
      </c>
      <c r="F162" s="28">
        <f>INDEX(Data_Svensson!$C$4:$C$202,MATCH($A162,Data_Svensson!$A$4:$A$202,1))</f>
        <v>0.78000599999999998</v>
      </c>
      <c r="G162" s="28">
        <f>INDEX(Data_Svensson!$D$4:$D$202,MATCH($A162,Data_Svensson!$A$4:$A$202,1))</f>
        <v>2.0277569999999998</v>
      </c>
      <c r="H162" s="28">
        <f>INDEX(Data_Svensson!$E$4:$E$202,MATCH($A162,Data_Svensson!$A$4:$A$202,1))</f>
        <v>7.5919350000000003</v>
      </c>
      <c r="I162" s="28">
        <f>INDEX(Data_Svensson!$F$4:$F$202,MATCH($A162,Data_Svensson!$A$4:$A$202,1))</f>
        <v>0.81689299999999998</v>
      </c>
      <c r="J162" s="28">
        <f>INDEX(Data_Svensson!$G$4:$G$202,MATCH($A162,Data_Svensson!$A$4:$A$202,1))</f>
        <v>14.587051000000001</v>
      </c>
      <c r="K162" s="28">
        <f t="shared" si="85"/>
        <v>0.53844710155118392</v>
      </c>
      <c r="L162" s="28">
        <f t="shared" si="86"/>
        <v>0.29149232724536478</v>
      </c>
      <c r="M162" s="28">
        <f t="shared" si="87"/>
        <v>3.7174388242793066E-2</v>
      </c>
      <c r="N162" s="29">
        <f t="shared" si="88"/>
        <v>2.475683116114661E-2</v>
      </c>
      <c r="O162" s="29">
        <f t="shared" si="89"/>
        <v>1.8756831161146612E-2</v>
      </c>
      <c r="P162" s="28">
        <f t="shared" si="90"/>
        <v>0.53122436247565985</v>
      </c>
      <c r="Q162" s="28">
        <f t="shared" si="91"/>
        <v>-0.4240641791953062</v>
      </c>
      <c r="R162" s="28">
        <f t="shared" si="92"/>
        <v>-0.45851928358902011</v>
      </c>
      <c r="S162" s="28">
        <f t="shared" si="93"/>
        <v>0.754446577742381</v>
      </c>
      <c r="T162" s="28">
        <f t="shared" si="94"/>
        <v>-1.3555101606060436</v>
      </c>
      <c r="U162" s="28">
        <f t="shared" si="95"/>
        <v>-0.14254429927464229</v>
      </c>
      <c r="V162" s="28">
        <f t="shared" si="96"/>
        <v>735.37046001349461</v>
      </c>
      <c r="W162" s="28">
        <f t="shared" si="97"/>
        <v>502.25654553343179</v>
      </c>
      <c r="X162" s="28">
        <f t="shared" si="98"/>
        <v>-17.70161778707299</v>
      </c>
      <c r="Y162" s="28">
        <f t="shared" si="99"/>
        <v>149.56253008778901</v>
      </c>
      <c r="Z162" s="28">
        <f t="shared" si="100"/>
        <v>65.849766605200813</v>
      </c>
      <c r="AA162" s="28">
        <f t="shared" si="101"/>
        <v>1208.8543625049665</v>
      </c>
      <c r="AB162" s="32">
        <f t="shared" si="102"/>
        <v>1274.7041291101673</v>
      </c>
      <c r="AC162" s="22">
        <f>INDEX(Data_Cert!$E$4:$E$195,MATCH($A162,Data_Cert!$A$4:$A$195,0))</f>
        <v>1399.83</v>
      </c>
      <c r="AD162" s="22">
        <f t="shared" si="103"/>
        <v>-125.12587088983264</v>
      </c>
      <c r="AE162" s="23">
        <f t="shared" si="104"/>
        <v>-8.9386476136268433E-2</v>
      </c>
      <c r="AF162" s="36">
        <f>Data_Stock!D162</f>
        <v>1287.3699999999999</v>
      </c>
    </row>
    <row r="163" spans="1:32" x14ac:dyDescent="0.2">
      <c r="A163" s="35">
        <f>Data_Stock!A163</f>
        <v>46140</v>
      </c>
      <c r="B163" s="36">
        <f>Data_Stock!B163</f>
        <v>1329.91</v>
      </c>
      <c r="C163" s="37">
        <f>Data_Stock!C163</f>
        <v>0.48199999999999998</v>
      </c>
      <c r="D163" s="38">
        <f t="shared" si="84"/>
        <v>1.1397260273972603</v>
      </c>
      <c r="E163" s="28">
        <f>INDEX(Data_Svensson!$B$4:$B$202,MATCH($A163,Data_Svensson!$A$4:$A$202,1))</f>
        <v>1.1850130000000001</v>
      </c>
      <c r="F163" s="28">
        <f>INDEX(Data_Svensson!$C$4:$C$202,MATCH($A163,Data_Svensson!$A$4:$A$202,1))</f>
        <v>0.71607900000000002</v>
      </c>
      <c r="G163" s="28">
        <f>INDEX(Data_Svensson!$D$4:$D$202,MATCH($A163,Data_Svensson!$A$4:$A$202,1))</f>
        <v>2.3616009999999998</v>
      </c>
      <c r="H163" s="28">
        <f>INDEX(Data_Svensson!$E$4:$E$202,MATCH($A163,Data_Svensson!$A$4:$A$202,1))</f>
        <v>7.6358940000000004</v>
      </c>
      <c r="I163" s="28">
        <f>INDEX(Data_Svensson!$F$4:$F$202,MATCH($A163,Data_Svensson!$A$4:$A$202,1))</f>
        <v>0.79613299999999998</v>
      </c>
      <c r="J163" s="28">
        <f>INDEX(Data_Svensson!$G$4:$G$202,MATCH($A163,Data_Svensson!$A$4:$A$202,1))</f>
        <v>14.43679</v>
      </c>
      <c r="K163" s="28">
        <f t="shared" si="85"/>
        <v>0.53162913843070125</v>
      </c>
      <c r="L163" s="28">
        <f t="shared" si="86"/>
        <v>0.29269740967715296</v>
      </c>
      <c r="M163" s="28">
        <f t="shared" si="87"/>
        <v>3.7455714706487786E-2</v>
      </c>
      <c r="N163" s="29">
        <f t="shared" si="88"/>
        <v>2.5429438244022742E-2</v>
      </c>
      <c r="O163" s="29">
        <f t="shared" si="89"/>
        <v>1.942943824402274E-2</v>
      </c>
      <c r="P163" s="28">
        <f t="shared" si="90"/>
        <v>0.51457332770854058</v>
      </c>
      <c r="Q163" s="28">
        <f t="shared" si="91"/>
        <v>-0.41636921607744898</v>
      </c>
      <c r="R163" s="28">
        <f t="shared" si="92"/>
        <v>-0.492638861906811</v>
      </c>
      <c r="S163" s="28">
        <f t="shared" si="93"/>
        <v>0.75957725908786933</v>
      </c>
      <c r="T163" s="28">
        <f t="shared" si="94"/>
        <v>-1.4111517108102076</v>
      </c>
      <c r="U163" s="28">
        <f t="shared" si="95"/>
        <v>-0.15893558981552713</v>
      </c>
      <c r="V163" s="28">
        <f t="shared" si="96"/>
        <v>728.11260195587909</v>
      </c>
      <c r="W163" s="28">
        <f t="shared" si="97"/>
        <v>487.87147061945927</v>
      </c>
      <c r="X163" s="28">
        <f t="shared" si="98"/>
        <v>-15.261371915853999</v>
      </c>
      <c r="Y163" s="28">
        <f t="shared" si="99"/>
        <v>154.17388148852291</v>
      </c>
      <c r="Z163" s="28">
        <f t="shared" si="100"/>
        <v>70.805877932042904</v>
      </c>
      <c r="AA163" s="28">
        <f t="shared" si="101"/>
        <v>1214.7541468856534</v>
      </c>
      <c r="AB163" s="32">
        <f t="shared" si="102"/>
        <v>1285.5600248176963</v>
      </c>
      <c r="AC163" s="22">
        <f>INDEX(Data_Cert!$E$4:$E$195,MATCH($A163,Data_Cert!$A$4:$A$195,0))</f>
        <v>1387.88</v>
      </c>
      <c r="AD163" s="22">
        <f t="shared" si="103"/>
        <v>-102.31997518230378</v>
      </c>
      <c r="AE163" s="23">
        <f t="shared" si="104"/>
        <v>-7.3723935197786389E-2</v>
      </c>
      <c r="AF163" s="36">
        <f>Data_Stock!D163</f>
        <v>1295.54</v>
      </c>
    </row>
    <row r="164" spans="1:32" x14ac:dyDescent="0.2">
      <c r="A164" s="35">
        <f>Data_Stock!A164</f>
        <v>46141</v>
      </c>
      <c r="B164" s="36">
        <f>Data_Stock!B164</f>
        <v>1324.76</v>
      </c>
      <c r="C164" s="37">
        <f>Data_Stock!C164</f>
        <v>0.46800000000000003</v>
      </c>
      <c r="D164" s="38">
        <f t="shared" ref="D164:D186" si="105">MAX((MaturityDate-A164)/365,1/365)</f>
        <v>1.1369863013698631</v>
      </c>
      <c r="E164" s="28">
        <f>INDEX(Data_Svensson!$B$4:$B$202,MATCH($A164,Data_Svensson!$A$4:$A$202,1))</f>
        <v>1.2178199999999999</v>
      </c>
      <c r="F164" s="28">
        <f>INDEX(Data_Svensson!$C$4:$C$202,MATCH($A164,Data_Svensson!$A$4:$A$202,1))</f>
        <v>0.78988000000000003</v>
      </c>
      <c r="G164" s="28">
        <f>INDEX(Data_Svensson!$D$4:$D$202,MATCH($A164,Data_Svensson!$A$4:$A$202,1))</f>
        <v>2.2741560000000001</v>
      </c>
      <c r="H164" s="28">
        <f>INDEX(Data_Svensson!$E$4:$E$202,MATCH($A164,Data_Svensson!$A$4:$A$202,1))</f>
        <v>7.4824299999999999</v>
      </c>
      <c r="I164" s="28">
        <f>INDEX(Data_Svensson!$F$4:$F$202,MATCH($A164,Data_Svensson!$A$4:$A$202,1))</f>
        <v>0.87890699999999999</v>
      </c>
      <c r="J164" s="28">
        <f>INDEX(Data_Svensson!$G$4:$G$202,MATCH($A164,Data_Svensson!$A$4:$A$202,1))</f>
        <v>14.436161999999999</v>
      </c>
      <c r="K164" s="28">
        <f t="shared" ref="K164:K186" si="106">(1-EXP(-D164/I164))/(D164/I164)</f>
        <v>0.56099868864432989</v>
      </c>
      <c r="L164" s="28">
        <f t="shared" ref="L164:L195" si="107">K164-EXP(-D164/I164)</f>
        <v>0.28672714919255637</v>
      </c>
      <c r="M164" s="28">
        <f t="shared" ref="M164:M186" si="108">(1-EXP(-D164/J164))/(D164/J164)-EXP(-D164/J164)</f>
        <v>3.7371914239839432E-2</v>
      </c>
      <c r="N164" s="29">
        <f t="shared" ref="N164:N195" si="109">(E164+F164*K164+G164*L164+H164*M164)/100</f>
        <v>2.5926366431511319E-2</v>
      </c>
      <c r="O164" s="29">
        <f t="shared" ref="O164:O195" si="110">N164-q</f>
        <v>1.9926366431511321E-2</v>
      </c>
      <c r="P164" s="28">
        <f t="shared" ref="P164:P186" si="111">C164*SQRT(D164)</f>
        <v>0.49902633965676896</v>
      </c>
      <c r="Q164" s="28">
        <f t="shared" ref="Q164:Q186" si="112">(O164-0.5*C164^2)/C164^2</f>
        <v>-0.40902199561914993</v>
      </c>
      <c r="R164" s="28">
        <f t="shared" ref="R164:R195" si="113">LN(B164/Cap)/P164+(1+Q164)*P164</f>
        <v>-0.53052554356429127</v>
      </c>
      <c r="S164" s="28">
        <f t="shared" ref="S164:S186" si="114">LN(B164/Barrier)/P164+(1+Q164)*P164</f>
        <v>0.76070292512476234</v>
      </c>
      <c r="T164" s="28">
        <f t="shared" ref="T164:T186" si="115">LN(Barrier^2/(B164*Cap))/P164+(1+Q164)*P164</f>
        <v>-1.4621042131261408</v>
      </c>
      <c r="U164" s="28">
        <f t="shared" ref="U164:U186" si="116">LN(Barrier/B164)/P164+(1+Q164)*P164</f>
        <v>-0.17087574443708714</v>
      </c>
      <c r="V164" s="28">
        <f t="shared" ref="V164:V186" si="117">-B164*EXP((O164-N164)*D164)*NORMSDIST(-R164)+Cap*EXP(-N164*D164)*NORMSDIST(-R164+P164)</f>
        <v>723.6671654646899</v>
      </c>
      <c r="W164" s="28">
        <f t="shared" ref="W164:W186" si="118">-B164*EXP((O164-N164)*D164)*NORMSDIST(-S164)+Cap*EXP(-N164*D164)*NORMSDIST(-S164+P164)</f>
        <v>476.55738385318529</v>
      </c>
      <c r="X164" s="28">
        <f t="shared" ref="X164:X186" si="119">-B164*EXP((O164-N164)*D164)*(Barrier/B164)^(2*(Q164+1))*NORMSDIST(T164)+Cap*EXP(-N164*D164)*(Barrier/B164)^(2*Q164)*NORMSDIST(T164-P164)</f>
        <v>-13.278043469917854</v>
      </c>
      <c r="Y164" s="28">
        <f t="shared" ref="Y164:Y186" si="120">-B164*EXP((O164-N164)*D164)*(Barrier/B164)^(2*(Q164+1))*NORMSDIST(U164)+Cap*EXP(-N164*D164)*(Barrier/B164)^(2*Q164)*NORMSDIST(U164-P164)</f>
        <v>158.5574412681836</v>
      </c>
      <c r="Z164" s="28">
        <f t="shared" ref="Z164:Z195" si="121">IF(B164&lt;=Barrier,0,V164-W164+X164-Y164)</f>
        <v>75.274296873403159</v>
      </c>
      <c r="AA164" s="28">
        <f t="shared" ref="AA164:AA186" si="122">Cap*EXP(-N164*D164)-V164</f>
        <v>1218.2374598467586</v>
      </c>
      <c r="AB164" s="32">
        <f t="shared" ref="AB164:AB195" si="123">AA164+Z164</f>
        <v>1293.5117567201619</v>
      </c>
      <c r="AC164" s="22">
        <f>INDEX(Data_Cert!$E$4:$E$195,MATCH($A164,Data_Cert!$A$4:$A$195,0))</f>
        <v>1385.29</v>
      </c>
      <c r="AD164" s="22">
        <f t="shared" ref="AD164:AD195" si="124">AB164-AC164</f>
        <v>-91.77824327983808</v>
      </c>
      <c r="AE164" s="23">
        <f t="shared" ref="AE164:AE195" si="125">AD164/AC164</f>
        <v>-6.6252007362962329E-2</v>
      </c>
      <c r="AF164" s="36">
        <f>Data_Stock!D164</f>
        <v>1302.19</v>
      </c>
    </row>
    <row r="165" spans="1:32" x14ac:dyDescent="0.2">
      <c r="A165" s="35">
        <f>Data_Stock!A165</f>
        <v>46142</v>
      </c>
      <c r="B165" s="36">
        <f>Data_Stock!B165</f>
        <v>1342.38</v>
      </c>
      <c r="C165" s="37">
        <f>Data_Stock!C165</f>
        <v>0.45600000000000002</v>
      </c>
      <c r="D165" s="38">
        <f t="shared" si="105"/>
        <v>1.1342465753424658</v>
      </c>
      <c r="E165" s="28">
        <f>INDEX(Data_Svensson!$B$4:$B$202,MATCH($A165,Data_Svensson!$A$4:$A$202,1))</f>
        <v>1.2054480000000001</v>
      </c>
      <c r="F165" s="28">
        <f>INDEX(Data_Svensson!$C$4:$C$202,MATCH($A165,Data_Svensson!$A$4:$A$202,1))</f>
        <v>0.77787300000000004</v>
      </c>
      <c r="G165" s="28">
        <f>INDEX(Data_Svensson!$D$4:$D$202,MATCH($A165,Data_Svensson!$A$4:$A$202,1))</f>
        <v>2.1547969999999999</v>
      </c>
      <c r="H165" s="28">
        <f>INDEX(Data_Svensson!$E$4:$E$202,MATCH($A165,Data_Svensson!$A$4:$A$202,1))</f>
        <v>7.4564909999999998</v>
      </c>
      <c r="I165" s="28">
        <f>INDEX(Data_Svensson!$F$4:$F$202,MATCH($A165,Data_Svensson!$A$4:$A$202,1))</f>
        <v>0.89011700000000005</v>
      </c>
      <c r="J165" s="28">
        <f>INDEX(Data_Svensson!$G$4:$G$202,MATCH($A165,Data_Svensson!$A$4:$A$202,1))</f>
        <v>14.785714</v>
      </c>
      <c r="K165" s="28">
        <f t="shared" si="106"/>
        <v>0.56531651527988203</v>
      </c>
      <c r="L165" s="28">
        <f t="shared" si="107"/>
        <v>0.28568060386682387</v>
      </c>
      <c r="M165" s="28">
        <f t="shared" si="108"/>
        <v>3.6449864521307052E-2</v>
      </c>
      <c r="N165" s="29">
        <f t="shared" si="109"/>
        <v>2.5325642486150737E-2</v>
      </c>
      <c r="O165" s="29">
        <f t="shared" si="110"/>
        <v>1.9325642486150735E-2</v>
      </c>
      <c r="P165" s="28">
        <f t="shared" si="111"/>
        <v>0.48564461892459077</v>
      </c>
      <c r="Q165" s="28">
        <f t="shared" si="112"/>
        <v>-0.40705966025050622</v>
      </c>
      <c r="R165" s="28">
        <f t="shared" si="113"/>
        <v>-0.5330186329477733</v>
      </c>
      <c r="S165" s="28">
        <f t="shared" si="114"/>
        <v>0.79378905992314652</v>
      </c>
      <c r="T165" s="28">
        <f t="shared" si="115"/>
        <v>-1.5446801821087455</v>
      </c>
      <c r="U165" s="28">
        <f t="shared" si="116"/>
        <v>-0.21787248923782582</v>
      </c>
      <c r="V165" s="28">
        <f t="shared" si="117"/>
        <v>706.45639851989438</v>
      </c>
      <c r="W165" s="28">
        <f t="shared" si="118"/>
        <v>451.64255477532879</v>
      </c>
      <c r="X165" s="28">
        <f t="shared" si="119"/>
        <v>-10.757269463558451</v>
      </c>
      <c r="Y165" s="28">
        <f t="shared" si="120"/>
        <v>159.47918988880758</v>
      </c>
      <c r="Z165" s="28">
        <f t="shared" si="121"/>
        <v>84.577384392199548</v>
      </c>
      <c r="AA165" s="28">
        <f t="shared" si="122"/>
        <v>1236.9098660561526</v>
      </c>
      <c r="AB165" s="32">
        <f t="shared" si="123"/>
        <v>1321.4872504483521</v>
      </c>
      <c r="AC165" s="22">
        <f>INDEX(Data_Cert!$E$4:$E$195,MATCH($A165,Data_Cert!$A$4:$A$195,0))</f>
        <v>1408.08</v>
      </c>
      <c r="AD165" s="22">
        <f t="shared" si="124"/>
        <v>-86.592749551647785</v>
      </c>
      <c r="AE165" s="23">
        <f t="shared" si="125"/>
        <v>-6.1497038202124731E-2</v>
      </c>
      <c r="AF165" s="36">
        <f>Data_Stock!D165</f>
        <v>1338.73</v>
      </c>
    </row>
    <row r="166" spans="1:32" x14ac:dyDescent="0.2">
      <c r="A166" s="35">
        <f>Data_Stock!A166</f>
        <v>46146</v>
      </c>
      <c r="B166" s="36">
        <f>Data_Stock!B166</f>
        <v>1374.46</v>
      </c>
      <c r="C166" s="37">
        <f>Data_Stock!C166</f>
        <v>0.45200000000000001</v>
      </c>
      <c r="D166" s="38">
        <f t="shared" si="105"/>
        <v>1.1232876712328768</v>
      </c>
      <c r="E166" s="28">
        <f>INDEX(Data_Svensson!$B$4:$B$202,MATCH($A166,Data_Svensson!$A$4:$A$202,1))</f>
        <v>1.1803889999999999</v>
      </c>
      <c r="F166" s="28">
        <f>INDEX(Data_Svensson!$C$4:$C$202,MATCH($A166,Data_Svensson!$A$4:$A$202,1))</f>
        <v>0.73792000000000002</v>
      </c>
      <c r="G166" s="28">
        <f>INDEX(Data_Svensson!$D$4:$D$202,MATCH($A166,Data_Svensson!$A$4:$A$202,1))</f>
        <v>2.39662</v>
      </c>
      <c r="H166" s="28">
        <f>INDEX(Data_Svensson!$E$4:$E$202,MATCH($A166,Data_Svensson!$A$4:$A$202,1))</f>
        <v>7.5433960000000004</v>
      </c>
      <c r="I166" s="28">
        <f>INDEX(Data_Svensson!$F$4:$F$202,MATCH($A166,Data_Svensson!$A$4:$A$202,1))</f>
        <v>0.88904899999999998</v>
      </c>
      <c r="J166" s="28">
        <f>INDEX(Data_Svensson!$G$4:$G$202,MATCH($A166,Data_Svensson!$A$4:$A$202,1))</f>
        <v>14.790417</v>
      </c>
      <c r="K166" s="28">
        <f t="shared" si="106"/>
        <v>0.56774458327538468</v>
      </c>
      <c r="L166" s="28">
        <f t="shared" si="107"/>
        <v>0.28507342657028412</v>
      </c>
      <c r="M166" s="28">
        <f t="shared" si="108"/>
        <v>3.6104512765082863E-2</v>
      </c>
      <c r="N166" s="29">
        <f t="shared" si="109"/>
        <v>2.5549023956515211E-2</v>
      </c>
      <c r="O166" s="29">
        <f t="shared" si="110"/>
        <v>1.9549023956515213E-2</v>
      </c>
      <c r="P166" s="28">
        <f t="shared" si="111"/>
        <v>0.47905340452141837</v>
      </c>
      <c r="Q166" s="28">
        <f t="shared" si="112"/>
        <v>-0.40431404203287646</v>
      </c>
      <c r="R166" s="28">
        <f t="shared" si="113"/>
        <v>-0.49760839149669689</v>
      </c>
      <c r="S166" s="28">
        <f t="shared" si="114"/>
        <v>0.84745462300006003</v>
      </c>
      <c r="T166" s="28">
        <f t="shared" si="115"/>
        <v>-1.6217868651173108</v>
      </c>
      <c r="U166" s="28">
        <f t="shared" si="116"/>
        <v>-0.27672385062055394</v>
      </c>
      <c r="V166" s="28">
        <f t="shared" si="117"/>
        <v>681.12820186828856</v>
      </c>
      <c r="W166" s="28">
        <f t="shared" si="118"/>
        <v>421.59323512644335</v>
      </c>
      <c r="X166" s="28">
        <f t="shared" si="119"/>
        <v>-8.8553838006164156</v>
      </c>
      <c r="Y166" s="28">
        <f t="shared" si="120"/>
        <v>156.0714797699315</v>
      </c>
      <c r="Z166" s="28">
        <f t="shared" si="121"/>
        <v>94.608103171297302</v>
      </c>
      <c r="AA166" s="28">
        <f t="shared" si="122"/>
        <v>1262.289795098643</v>
      </c>
      <c r="AB166" s="32">
        <f t="shared" si="123"/>
        <v>1356.8978982699402</v>
      </c>
      <c r="AC166" s="22">
        <f>INDEX(Data_Cert!$E$4:$E$195,MATCH($A166,Data_Cert!$A$4:$A$195,0))</f>
        <v>1424.52</v>
      </c>
      <c r="AD166" s="22">
        <f t="shared" si="124"/>
        <v>-67.62210173005974</v>
      </c>
      <c r="AE166" s="23">
        <f t="shared" si="125"/>
        <v>-4.7470096404444821E-2</v>
      </c>
      <c r="AF166" s="36">
        <f>Data_Stock!D166</f>
        <v>1357.09</v>
      </c>
    </row>
    <row r="167" spans="1:32" x14ac:dyDescent="0.2">
      <c r="A167" s="35">
        <f>Data_Stock!A167</f>
        <v>46147</v>
      </c>
      <c r="B167" s="36">
        <f>Data_Stock!B167</f>
        <v>1421.19</v>
      </c>
      <c r="C167" s="37">
        <f>Data_Stock!C167</f>
        <v>0.45700000000000002</v>
      </c>
      <c r="D167" s="38">
        <f t="shared" si="105"/>
        <v>1.1205479452054794</v>
      </c>
      <c r="E167" s="28">
        <f>INDEX(Data_Svensson!$B$4:$B$202,MATCH($A167,Data_Svensson!$A$4:$A$202,1))</f>
        <v>1.1730529999999999</v>
      </c>
      <c r="F167" s="28">
        <f>INDEX(Data_Svensson!$C$4:$C$202,MATCH($A167,Data_Svensson!$A$4:$A$202,1))</f>
        <v>0.75158999999999998</v>
      </c>
      <c r="G167" s="28">
        <f>INDEX(Data_Svensson!$D$4:$D$202,MATCH($A167,Data_Svensson!$A$4:$A$202,1))</f>
        <v>2.3719890000000001</v>
      </c>
      <c r="H167" s="28">
        <f>INDEX(Data_Svensson!$E$4:$E$202,MATCH($A167,Data_Svensson!$A$4:$A$202,1))</f>
        <v>7.6523649999999996</v>
      </c>
      <c r="I167" s="28">
        <f>INDEX(Data_Svensson!$F$4:$F$202,MATCH($A167,Data_Svensson!$A$4:$A$202,1))</f>
        <v>0.88456000000000001</v>
      </c>
      <c r="J167" s="28">
        <f>INDEX(Data_Svensson!$G$4:$G$202,MATCH($A167,Data_Svensson!$A$4:$A$202,1))</f>
        <v>14.694701999999999</v>
      </c>
      <c r="K167" s="28">
        <f t="shared" si="106"/>
        <v>0.56699744339406699</v>
      </c>
      <c r="L167" s="28">
        <f t="shared" si="107"/>
        <v>0.28526168791335554</v>
      </c>
      <c r="M167" s="28">
        <f t="shared" si="108"/>
        <v>3.6243647551615576E-2</v>
      </c>
      <c r="N167" s="29">
        <f t="shared" si="109"/>
        <v>2.5531898143287778E-2</v>
      </c>
      <c r="O167" s="29">
        <f t="shared" si="110"/>
        <v>1.9531898143287776E-2</v>
      </c>
      <c r="P167" s="28">
        <f t="shared" si="111"/>
        <v>0.48376163325362953</v>
      </c>
      <c r="Q167" s="28">
        <f t="shared" si="112"/>
        <v>-0.40647837364178052</v>
      </c>
      <c r="R167" s="28">
        <f t="shared" si="113"/>
        <v>-0.41911869514975963</v>
      </c>
      <c r="S167" s="28">
        <f t="shared" si="114"/>
        <v>0.91285344174081895</v>
      </c>
      <c r="T167" s="28">
        <f t="shared" si="115"/>
        <v>-1.6705795959545924</v>
      </c>
      <c r="U167" s="28">
        <f t="shared" si="116"/>
        <v>-0.33860745906401368</v>
      </c>
      <c r="V167" s="28">
        <f t="shared" si="117"/>
        <v>652.20328397951801</v>
      </c>
      <c r="W167" s="28">
        <f t="shared" si="118"/>
        <v>393.98847524961593</v>
      </c>
      <c r="X167" s="28">
        <f t="shared" si="119"/>
        <v>-7.9213035510639074</v>
      </c>
      <c r="Y167" s="28">
        <f t="shared" si="120"/>
        <v>148.53667837635589</v>
      </c>
      <c r="Z167" s="28">
        <f t="shared" si="121"/>
        <v>101.75682680248227</v>
      </c>
      <c r="AA167" s="28">
        <f t="shared" si="122"/>
        <v>1291.38804954427</v>
      </c>
      <c r="AB167" s="32">
        <f t="shared" si="123"/>
        <v>1393.1448763467522</v>
      </c>
      <c r="AC167" s="22">
        <f>INDEX(Data_Cert!$E$4:$E$195,MATCH($A167,Data_Cert!$A$4:$A$195,0))</f>
        <v>1491.72</v>
      </c>
      <c r="AD167" s="22">
        <f t="shared" si="124"/>
        <v>-98.575123653247829</v>
      </c>
      <c r="AE167" s="23">
        <f t="shared" si="125"/>
        <v>-6.6081519087528379E-2</v>
      </c>
      <c r="AF167" s="36">
        <f>Data_Stock!D167</f>
        <v>1396.53</v>
      </c>
    </row>
    <row r="168" spans="1:32" x14ac:dyDescent="0.2">
      <c r="A168" s="35">
        <f>Data_Stock!A168</f>
        <v>46148</v>
      </c>
      <c r="B168" s="36">
        <f>Data_Stock!B168</f>
        <v>1427.33</v>
      </c>
      <c r="C168" s="37">
        <f>Data_Stock!C168</f>
        <v>0.443</v>
      </c>
      <c r="D168" s="38">
        <f t="shared" si="105"/>
        <v>1.1178082191780823</v>
      </c>
      <c r="E168" s="28">
        <f>INDEX(Data_Svensson!$B$4:$B$202,MATCH($A168,Data_Svensson!$A$4:$A$202,1))</f>
        <v>1.186423</v>
      </c>
      <c r="F168" s="28">
        <f>INDEX(Data_Svensson!$C$4:$C$202,MATCH($A168,Data_Svensson!$A$4:$A$202,1))</f>
        <v>0.64853000000000005</v>
      </c>
      <c r="G168" s="28">
        <f>INDEX(Data_Svensson!$D$4:$D$202,MATCH($A168,Data_Svensson!$A$4:$A$202,1))</f>
        <v>2.3358789999999998</v>
      </c>
      <c r="H168" s="28">
        <f>INDEX(Data_Svensson!$E$4:$E$202,MATCH($A168,Data_Svensson!$A$4:$A$202,1))</f>
        <v>7.4925980000000001</v>
      </c>
      <c r="I168" s="28">
        <f>INDEX(Data_Svensson!$F$4:$F$202,MATCH($A168,Data_Svensson!$A$4:$A$202,1))</f>
        <v>0.77202000000000004</v>
      </c>
      <c r="J168" s="28">
        <f>INDEX(Data_Svensson!$G$4:$G$202,MATCH($A168,Data_Svensson!$A$4:$A$202,1))</f>
        <v>14.846491</v>
      </c>
      <c r="K168" s="28">
        <f t="shared" si="106"/>
        <v>0.5283074946733457</v>
      </c>
      <c r="L168" s="28">
        <f t="shared" si="107"/>
        <v>0.29324423180353243</v>
      </c>
      <c r="M168" s="28">
        <f t="shared" si="108"/>
        <v>3.5808250220245363E-2</v>
      </c>
      <c r="N168" s="29">
        <f t="shared" si="109"/>
        <v>2.4823261264452182E-2</v>
      </c>
      <c r="O168" s="29">
        <f t="shared" si="110"/>
        <v>1.8823261264452183E-2</v>
      </c>
      <c r="P168" s="28">
        <f t="shared" si="111"/>
        <v>0.46836817270762476</v>
      </c>
      <c r="Q168" s="28">
        <f t="shared" si="112"/>
        <v>-0.40408480418013754</v>
      </c>
      <c r="R168" s="28">
        <f t="shared" si="113"/>
        <v>-0.44114108879404684</v>
      </c>
      <c r="S168" s="28">
        <f t="shared" si="114"/>
        <v>0.93460784962228782</v>
      </c>
      <c r="T168" s="28">
        <f t="shared" si="115"/>
        <v>-1.7521413653289117</v>
      </c>
      <c r="U168" s="28">
        <f t="shared" si="116"/>
        <v>-0.37639242691257685</v>
      </c>
      <c r="V168" s="28">
        <f t="shared" si="117"/>
        <v>641.57332732156465</v>
      </c>
      <c r="W168" s="28">
        <f t="shared" si="118"/>
        <v>375.39468745302611</v>
      </c>
      <c r="X168" s="28">
        <f t="shared" si="119"/>
        <v>-6.3210002815365911</v>
      </c>
      <c r="Y168" s="28">
        <f t="shared" si="120"/>
        <v>149.00579756647807</v>
      </c>
      <c r="Z168" s="28">
        <f t="shared" si="121"/>
        <v>110.85184202052386</v>
      </c>
      <c r="AA168" s="28">
        <f t="shared" si="122"/>
        <v>1303.694241432607</v>
      </c>
      <c r="AB168" s="32">
        <f t="shared" si="123"/>
        <v>1414.5460834531309</v>
      </c>
      <c r="AC168" s="22">
        <f>INDEX(Data_Cert!$E$4:$E$195,MATCH($A168,Data_Cert!$A$4:$A$195,0))</f>
        <v>1495.63</v>
      </c>
      <c r="AD168" s="22">
        <f t="shared" si="124"/>
        <v>-81.083916546869204</v>
      </c>
      <c r="AE168" s="23">
        <f t="shared" si="125"/>
        <v>-5.4213887490134054E-2</v>
      </c>
      <c r="AF168" s="36">
        <f>Data_Stock!D168</f>
        <v>1429.86</v>
      </c>
    </row>
    <row r="169" spans="1:32" x14ac:dyDescent="0.2">
      <c r="A169" s="35">
        <f>Data_Stock!A169</f>
        <v>46149</v>
      </c>
      <c r="B169" s="36">
        <f>Data_Stock!B169</f>
        <v>1328.32</v>
      </c>
      <c r="C169" s="37">
        <f>Data_Stock!C169</f>
        <v>0.51300000000000001</v>
      </c>
      <c r="D169" s="38">
        <f t="shared" si="105"/>
        <v>1.1150684931506849</v>
      </c>
      <c r="E169" s="28">
        <f>INDEX(Data_Svensson!$B$4:$B$202,MATCH($A169,Data_Svensson!$A$4:$A$202,1))</f>
        <v>1.2094050000000001</v>
      </c>
      <c r="F169" s="28">
        <f>INDEX(Data_Svensson!$C$4:$C$202,MATCH($A169,Data_Svensson!$A$4:$A$202,1))</f>
        <v>0.66836399999999996</v>
      </c>
      <c r="G169" s="28">
        <f>INDEX(Data_Svensson!$D$4:$D$202,MATCH($A169,Data_Svensson!$A$4:$A$202,1))</f>
        <v>2.1705559999999999</v>
      </c>
      <c r="H169" s="28">
        <f>INDEX(Data_Svensson!$E$4:$E$202,MATCH($A169,Data_Svensson!$A$4:$A$202,1))</f>
        <v>7.3910669999999996</v>
      </c>
      <c r="I169" s="28">
        <f>INDEX(Data_Svensson!$F$4:$F$202,MATCH($A169,Data_Svensson!$A$4:$A$202,1))</f>
        <v>0.76641199999999998</v>
      </c>
      <c r="J169" s="28">
        <f>INDEX(Data_Svensson!$G$4:$G$202,MATCH($A169,Data_Svensson!$A$4:$A$202,1))</f>
        <v>14.839936</v>
      </c>
      <c r="K169" s="28">
        <f t="shared" si="106"/>
        <v>0.52688864734302132</v>
      </c>
      <c r="L169" s="28">
        <f t="shared" si="107"/>
        <v>0.29346971607757327</v>
      </c>
      <c r="M169" s="28">
        <f t="shared" si="108"/>
        <v>3.57398466456057E-2</v>
      </c>
      <c r="N169" s="29">
        <f t="shared" si="109"/>
        <v>2.4627064580706414E-2</v>
      </c>
      <c r="O169" s="29">
        <f t="shared" si="110"/>
        <v>1.8627064580706412E-2</v>
      </c>
      <c r="P169" s="28">
        <f t="shared" si="111"/>
        <v>0.54171160249155881</v>
      </c>
      <c r="Q169" s="28">
        <f t="shared" si="112"/>
        <v>-0.4292201415033442</v>
      </c>
      <c r="R169" s="28">
        <f t="shared" si="113"/>
        <v>-0.44624484798691422</v>
      </c>
      <c r="S169" s="28">
        <f t="shared" si="114"/>
        <v>0.74323865841546888</v>
      </c>
      <c r="T169" s="28">
        <f t="shared" si="115"/>
        <v>-1.3143260211855949</v>
      </c>
      <c r="U169" s="28">
        <f t="shared" si="116"/>
        <v>-0.12484251478321168</v>
      </c>
      <c r="V169" s="28">
        <f t="shared" si="117"/>
        <v>744.34413914018262</v>
      </c>
      <c r="W169" s="28">
        <f t="shared" si="118"/>
        <v>515.80575287821694</v>
      </c>
      <c r="X169" s="28">
        <f t="shared" si="119"/>
        <v>-19.668285089264742</v>
      </c>
      <c r="Y169" s="28">
        <f t="shared" si="120"/>
        <v>146.96265070655113</v>
      </c>
      <c r="Z169" s="28">
        <f t="shared" si="121"/>
        <v>61.907450466149811</v>
      </c>
      <c r="AA169" s="28">
        <f t="shared" si="122"/>
        <v>1201.4813767072837</v>
      </c>
      <c r="AB169" s="32">
        <f t="shared" si="123"/>
        <v>1263.3888271734336</v>
      </c>
      <c r="AC169" s="22">
        <f>INDEX(Data_Cert!$E$4:$E$195,MATCH($A169,Data_Cert!$A$4:$A$195,0))</f>
        <v>1409.07</v>
      </c>
      <c r="AD169" s="22">
        <f t="shared" si="124"/>
        <v>-145.68117282656635</v>
      </c>
      <c r="AE169" s="23">
        <f t="shared" si="125"/>
        <v>-0.10338817292722602</v>
      </c>
      <c r="AF169" s="36">
        <f>Data_Stock!D169</f>
        <v>1280.0999999999999</v>
      </c>
    </row>
    <row r="170" spans="1:32" x14ac:dyDescent="0.2">
      <c r="A170" s="35">
        <f>Data_Stock!A170</f>
        <v>46150</v>
      </c>
      <c r="B170" s="36">
        <f>Data_Stock!B170</f>
        <v>1206.3399999999999</v>
      </c>
      <c r="C170" s="37">
        <f>Data_Stock!C170</f>
        <v>0.6</v>
      </c>
      <c r="D170" s="38">
        <f t="shared" si="105"/>
        <v>1.1123287671232878</v>
      </c>
      <c r="E170" s="28">
        <f>INDEX(Data_Svensson!$B$4:$B$202,MATCH($A170,Data_Svensson!$A$4:$A$202,1))</f>
        <v>1.229833</v>
      </c>
      <c r="F170" s="28">
        <f>INDEX(Data_Svensson!$C$4:$C$202,MATCH($A170,Data_Svensson!$A$4:$A$202,1))</f>
        <v>0.59217299999999995</v>
      </c>
      <c r="G170" s="28">
        <f>INDEX(Data_Svensson!$D$4:$D$202,MATCH($A170,Data_Svensson!$A$4:$A$202,1))</f>
        <v>2.340306</v>
      </c>
      <c r="H170" s="28">
        <f>INDEX(Data_Svensson!$E$4:$E$202,MATCH($A170,Data_Svensson!$A$4:$A$202,1))</f>
        <v>7.377345</v>
      </c>
      <c r="I170" s="28">
        <f>INDEX(Data_Svensson!$F$4:$F$202,MATCH($A170,Data_Svensson!$A$4:$A$202,1))</f>
        <v>0.74248199999999998</v>
      </c>
      <c r="J170" s="28">
        <f>INDEX(Data_Svensson!$G$4:$G$202,MATCH($A170,Data_Svensson!$A$4:$A$202,1))</f>
        <v>14.874038000000001</v>
      </c>
      <c r="K170" s="28">
        <f t="shared" si="106"/>
        <v>0.51828245550830432</v>
      </c>
      <c r="L170" s="28">
        <f t="shared" si="107"/>
        <v>0.29473290785217587</v>
      </c>
      <c r="M170" s="28">
        <f t="shared" si="108"/>
        <v>3.5578694708116143E-2</v>
      </c>
      <c r="N170" s="29">
        <f t="shared" si="109"/>
        <v>2.4889873746810606E-2</v>
      </c>
      <c r="O170" s="29">
        <f t="shared" si="110"/>
        <v>1.8889873746810608E-2</v>
      </c>
      <c r="P170" s="28">
        <f t="shared" si="111"/>
        <v>0.63280198811664901</v>
      </c>
      <c r="Q170" s="28">
        <f t="shared" si="112"/>
        <v>-0.44752812848108164</v>
      </c>
      <c r="R170" s="28">
        <f t="shared" si="113"/>
        <v>-0.44931159439199969</v>
      </c>
      <c r="S170" s="28">
        <f t="shared" si="114"/>
        <v>0.56894850669942454</v>
      </c>
      <c r="T170" s="28">
        <f t="shared" si="115"/>
        <v>-0.88799801043945426</v>
      </c>
      <c r="U170" s="28">
        <f t="shared" si="116"/>
        <v>0.13026209065197009</v>
      </c>
      <c r="V170" s="28">
        <f t="shared" si="117"/>
        <v>866.86817622255126</v>
      </c>
      <c r="W170" s="28">
        <f t="shared" si="118"/>
        <v>681.06174265720563</v>
      </c>
      <c r="X170" s="28">
        <f t="shared" si="119"/>
        <v>-51.185965251553739</v>
      </c>
      <c r="Y170" s="28">
        <f t="shared" si="120"/>
        <v>110.4210024347426</v>
      </c>
      <c r="Z170" s="28">
        <f t="shared" si="121"/>
        <v>24.199465879049285</v>
      </c>
      <c r="AA170" s="28">
        <f t="shared" si="122"/>
        <v>1078.5198528500425</v>
      </c>
      <c r="AB170" s="32">
        <f t="shared" si="123"/>
        <v>1102.7193187290918</v>
      </c>
      <c r="AC170" s="22">
        <f>INDEX(Data_Cert!$E$4:$E$195,MATCH($A170,Data_Cert!$A$4:$A$195,0))</f>
        <v>1240.53</v>
      </c>
      <c r="AD170" s="22">
        <f t="shared" si="124"/>
        <v>-137.81068127090816</v>
      </c>
      <c r="AE170" s="23">
        <f t="shared" si="125"/>
        <v>-0.11109016409994774</v>
      </c>
      <c r="AF170" s="36">
        <f>Data_Stock!D170</f>
        <v>1114.08</v>
      </c>
    </row>
    <row r="171" spans="1:32" x14ac:dyDescent="0.2">
      <c r="A171" s="35">
        <f>Data_Stock!A171</f>
        <v>46153</v>
      </c>
      <c r="B171" s="36">
        <f>Data_Stock!B171</f>
        <v>1173.8699999999999</v>
      </c>
      <c r="C171" s="37">
        <f>Data_Stock!C171</f>
        <v>0.6</v>
      </c>
      <c r="D171" s="38">
        <f t="shared" si="105"/>
        <v>1.1041095890410959</v>
      </c>
      <c r="E171" s="28">
        <f>INDEX(Data_Svensson!$B$4:$B$202,MATCH($A171,Data_Svensson!$A$4:$A$202,1))</f>
        <v>1.2088509999999999</v>
      </c>
      <c r="F171" s="28">
        <f>INDEX(Data_Svensson!$C$4:$C$202,MATCH($A171,Data_Svensson!$A$4:$A$202,1))</f>
        <v>0.631023</v>
      </c>
      <c r="G171" s="28">
        <f>INDEX(Data_Svensson!$D$4:$D$202,MATCH($A171,Data_Svensson!$A$4:$A$202,1))</f>
        <v>2.3949229999999999</v>
      </c>
      <c r="H171" s="28">
        <f>INDEX(Data_Svensson!$E$4:$E$202,MATCH($A171,Data_Svensson!$A$4:$A$202,1))</f>
        <v>7.4978300000000004</v>
      </c>
      <c r="I171" s="28">
        <f>INDEX(Data_Svensson!$F$4:$F$202,MATCH($A171,Data_Svensson!$A$4:$A$202,1))</f>
        <v>0.82869999999999999</v>
      </c>
      <c r="J171" s="28">
        <f>INDEX(Data_Svensson!$G$4:$G$202,MATCH($A171,Data_Svensson!$A$4:$A$202,1))</f>
        <v>15.045579999999999</v>
      </c>
      <c r="K171" s="28">
        <f t="shared" si="106"/>
        <v>0.55251744311042439</v>
      </c>
      <c r="L171" s="28">
        <f t="shared" si="107"/>
        <v>0.28865815392336969</v>
      </c>
      <c r="M171" s="28">
        <f t="shared" si="108"/>
        <v>3.4945518889817451E-2</v>
      </c>
      <c r="N171" s="29">
        <f t="shared" si="109"/>
        <v>2.5108318263701274E-2</v>
      </c>
      <c r="O171" s="29">
        <f t="shared" si="110"/>
        <v>1.9108318263701275E-2</v>
      </c>
      <c r="P171" s="28">
        <f t="shared" si="111"/>
        <v>0.63045971485479901</v>
      </c>
      <c r="Q171" s="28">
        <f t="shared" si="112"/>
        <v>-0.44692133815638535</v>
      </c>
      <c r="R171" s="28">
        <f t="shared" si="113"/>
        <v>-0.4964691430648509</v>
      </c>
      <c r="S171" s="28">
        <f t="shared" si="114"/>
        <v>0.52557398071969541</v>
      </c>
      <c r="T171" s="28">
        <f t="shared" si="115"/>
        <v>-0.85022947362784418</v>
      </c>
      <c r="U171" s="28">
        <f t="shared" si="116"/>
        <v>0.17181365015670269</v>
      </c>
      <c r="V171" s="28">
        <f t="shared" si="117"/>
        <v>887.77004957447355</v>
      </c>
      <c r="W171" s="28">
        <f t="shared" si="118"/>
        <v>704.54785653077204</v>
      </c>
      <c r="X171" s="28">
        <f t="shared" si="119"/>
        <v>-54.646534213107003</v>
      </c>
      <c r="Y171" s="28">
        <f t="shared" si="120"/>
        <v>109.01692739857492</v>
      </c>
      <c r="Z171" s="28">
        <f t="shared" si="121"/>
        <v>19.558731432019584</v>
      </c>
      <c r="AA171" s="28">
        <f t="shared" si="122"/>
        <v>1057.5467555142468</v>
      </c>
      <c r="AB171" s="32">
        <f t="shared" si="123"/>
        <v>1077.1054869462664</v>
      </c>
      <c r="AC171" s="22">
        <f>INDEX(Data_Cert!$E$4:$E$195,MATCH($A171,Data_Cert!$A$4:$A$195,0))</f>
        <v>1196.5999999999999</v>
      </c>
      <c r="AD171" s="22">
        <f t="shared" si="124"/>
        <v>-119.4945130537335</v>
      </c>
      <c r="AE171" s="23">
        <f t="shared" si="125"/>
        <v>-9.9861702368154365E-2</v>
      </c>
      <c r="AF171" s="36">
        <f>Data_Stock!D171</f>
        <v>1083.32</v>
      </c>
    </row>
    <row r="172" spans="1:32" x14ac:dyDescent="0.2">
      <c r="A172" s="35">
        <f>Data_Stock!A172</f>
        <v>46154</v>
      </c>
      <c r="B172" s="36">
        <f>Data_Stock!B172</f>
        <v>1150.5</v>
      </c>
      <c r="C172" s="37">
        <f>Data_Stock!C172</f>
        <v>0.59899999999999998</v>
      </c>
      <c r="D172" s="38">
        <f t="shared" si="105"/>
        <v>1.1013698630136985</v>
      </c>
      <c r="E172" s="28">
        <f>INDEX(Data_Svensson!$B$4:$B$202,MATCH($A172,Data_Svensson!$A$4:$A$202,1))</f>
        <v>1.208218</v>
      </c>
      <c r="F172" s="28">
        <f>INDEX(Data_Svensson!$C$4:$C$202,MATCH($A172,Data_Svensson!$A$4:$A$202,1))</f>
        <v>0.63302700000000001</v>
      </c>
      <c r="G172" s="28">
        <f>INDEX(Data_Svensson!$D$4:$D$202,MATCH($A172,Data_Svensson!$A$4:$A$202,1))</f>
        <v>2.5118849999999999</v>
      </c>
      <c r="H172" s="28">
        <f>INDEX(Data_Svensson!$E$4:$E$202,MATCH($A172,Data_Svensson!$A$4:$A$202,1))</f>
        <v>7.6688840000000003</v>
      </c>
      <c r="I172" s="28">
        <f>INDEX(Data_Svensson!$F$4:$F$202,MATCH($A172,Data_Svensson!$A$4:$A$202,1))</f>
        <v>0.87000100000000002</v>
      </c>
      <c r="J172" s="28">
        <f>INDEX(Data_Svensson!$G$4:$G$202,MATCH($A172,Data_Svensson!$A$4:$A$202,1))</f>
        <v>14.880051</v>
      </c>
      <c r="K172" s="28">
        <f t="shared" si="106"/>
        <v>0.56718772045888599</v>
      </c>
      <c r="L172" s="28">
        <f t="shared" si="107"/>
        <v>0.28521386294016493</v>
      </c>
      <c r="M172" s="28">
        <f t="shared" si="108"/>
        <v>3.523182153922455E-2</v>
      </c>
      <c r="N172" s="29">
        <f t="shared" si="109"/>
        <v>2.553876317723398E-2</v>
      </c>
      <c r="O172" s="29">
        <f t="shared" si="110"/>
        <v>1.9538763177233978E-2</v>
      </c>
      <c r="P172" s="28">
        <f t="shared" si="111"/>
        <v>0.62862755922658853</v>
      </c>
      <c r="Q172" s="28">
        <f t="shared" si="112"/>
        <v>-0.44554429007379021</v>
      </c>
      <c r="R172" s="28">
        <f t="shared" si="113"/>
        <v>-0.53106936871148402</v>
      </c>
      <c r="S172" s="28">
        <f t="shared" si="114"/>
        <v>0.49395253326061039</v>
      </c>
      <c r="T172" s="28">
        <f t="shared" si="115"/>
        <v>-0.82188215597238767</v>
      </c>
      <c r="U172" s="28">
        <f t="shared" si="116"/>
        <v>0.20313974599970669</v>
      </c>
      <c r="V172" s="28">
        <f t="shared" si="117"/>
        <v>902.49301702110677</v>
      </c>
      <c r="W172" s="28">
        <f t="shared" si="118"/>
        <v>721.35259016142754</v>
      </c>
      <c r="X172" s="28">
        <f t="shared" si="119"/>
        <v>-57.341620288829347</v>
      </c>
      <c r="Y172" s="28">
        <f t="shared" si="120"/>
        <v>107.70498842898814</v>
      </c>
      <c r="Z172" s="28">
        <f t="shared" si="121"/>
        <v>16.093818141861732</v>
      </c>
      <c r="AA172" s="28">
        <f t="shared" si="122"/>
        <v>1042.0355320345761</v>
      </c>
      <c r="AB172" s="32">
        <f t="shared" si="123"/>
        <v>1058.1293501764378</v>
      </c>
      <c r="AC172" s="22">
        <f>INDEX(Data_Cert!$E$4:$E$195,MATCH($A172,Data_Cert!$A$4:$A$195,0))</f>
        <v>1163.8900000000001</v>
      </c>
      <c r="AD172" s="22">
        <f t="shared" si="124"/>
        <v>-105.76064982356229</v>
      </c>
      <c r="AE172" s="23">
        <f t="shared" si="125"/>
        <v>-9.0868252002820102E-2</v>
      </c>
      <c r="AF172" s="36">
        <f>Data_Stock!D172</f>
        <v>1069.49</v>
      </c>
    </row>
    <row r="173" spans="1:32" x14ac:dyDescent="0.2">
      <c r="A173" s="35">
        <f>Data_Stock!A173</f>
        <v>46155</v>
      </c>
      <c r="B173" s="36">
        <f>Data_Stock!B173</f>
        <v>1121.5999999999999</v>
      </c>
      <c r="C173" s="37">
        <f>Data_Stock!C173</f>
        <v>0.58899999999999997</v>
      </c>
      <c r="D173" s="38">
        <f t="shared" si="105"/>
        <v>1.0986301369863014</v>
      </c>
      <c r="E173" s="28">
        <f>INDEX(Data_Svensson!$B$4:$B$202,MATCH($A173,Data_Svensson!$A$4:$A$202,1))</f>
        <v>1.2157910000000001</v>
      </c>
      <c r="F173" s="28">
        <f>INDEX(Data_Svensson!$C$4:$C$202,MATCH($A173,Data_Svensson!$A$4:$A$202,1))</f>
        <v>0.64183800000000002</v>
      </c>
      <c r="G173" s="28">
        <f>INDEX(Data_Svensson!$D$4:$D$202,MATCH($A173,Data_Svensson!$A$4:$A$202,1))</f>
        <v>2.4512719999999999</v>
      </c>
      <c r="H173" s="28">
        <f>INDEX(Data_Svensson!$E$4:$E$202,MATCH($A173,Data_Svensson!$A$4:$A$202,1))</f>
        <v>7.6405839999999996</v>
      </c>
      <c r="I173" s="28">
        <f>INDEX(Data_Svensson!$F$4:$F$202,MATCH($A173,Data_Svensson!$A$4:$A$202,1))</f>
        <v>0.88743899999999998</v>
      </c>
      <c r="J173" s="28">
        <f>INDEX(Data_Svensson!$G$4:$G$202,MATCH($A173,Data_Svensson!$A$4:$A$202,1))</f>
        <v>14.886265</v>
      </c>
      <c r="K173" s="28">
        <f t="shared" si="106"/>
        <v>0.5735400775445163</v>
      </c>
      <c r="L173" s="28">
        <f t="shared" si="107"/>
        <v>0.28357019111836862</v>
      </c>
      <c r="M173" s="28">
        <f t="shared" si="108"/>
        <v>3.5134512937054607E-2</v>
      </c>
      <c r="N173" s="29">
        <f t="shared" si="109"/>
        <v>2.5474666832087753E-2</v>
      </c>
      <c r="O173" s="29">
        <f t="shared" si="110"/>
        <v>1.9474666832087754E-2</v>
      </c>
      <c r="P173" s="28">
        <f t="shared" si="111"/>
        <v>0.61736364142490985</v>
      </c>
      <c r="Q173" s="28">
        <f t="shared" si="112"/>
        <v>-0.4438642606469837</v>
      </c>
      <c r="R173" s="28">
        <f t="shared" si="113"/>
        <v>-0.59353439352180226</v>
      </c>
      <c r="S173" s="28">
        <f t="shared" si="114"/>
        <v>0.45018922924176252</v>
      </c>
      <c r="T173" s="28">
        <f t="shared" si="115"/>
        <v>-0.80723688165830187</v>
      </c>
      <c r="U173" s="28">
        <f t="shared" si="116"/>
        <v>0.23648674110526274</v>
      </c>
      <c r="V173" s="28">
        <f t="shared" si="117"/>
        <v>918.8582864819258</v>
      </c>
      <c r="W173" s="28">
        <f t="shared" si="118"/>
        <v>737.94460708643078</v>
      </c>
      <c r="X173" s="28">
        <f t="shared" si="119"/>
        <v>-58.129572678688163</v>
      </c>
      <c r="Y173" s="28">
        <f t="shared" si="120"/>
        <v>110.64412180019531</v>
      </c>
      <c r="Z173" s="28">
        <f t="shared" si="121"/>
        <v>12.139984916611553</v>
      </c>
      <c r="AA173" s="28">
        <f t="shared" si="122"/>
        <v>1025.9432690256526</v>
      </c>
      <c r="AB173" s="32">
        <f t="shared" si="123"/>
        <v>1038.0832539422643</v>
      </c>
      <c r="AC173" s="22">
        <f>INDEX(Data_Cert!$E$4:$E$195,MATCH($A173,Data_Cert!$A$4:$A$195,0))</f>
        <v>1108.18</v>
      </c>
      <c r="AD173" s="22">
        <f t="shared" si="124"/>
        <v>-70.0967460577358</v>
      </c>
      <c r="AE173" s="23">
        <f t="shared" si="125"/>
        <v>-6.3253935333371647E-2</v>
      </c>
      <c r="AF173" s="36">
        <f>Data_Stock!D173</f>
        <v>1042.93</v>
      </c>
    </row>
    <row r="174" spans="1:32" x14ac:dyDescent="0.2">
      <c r="A174" s="35">
        <f>Data_Stock!A174</f>
        <v>46156</v>
      </c>
      <c r="B174" s="36">
        <f>Data_Stock!B174</f>
        <v>1143.2</v>
      </c>
      <c r="C174" s="37">
        <f>Data_Stock!C174</f>
        <v>0.57599999999999996</v>
      </c>
      <c r="D174" s="38">
        <f t="shared" si="105"/>
        <v>1.095890410958904</v>
      </c>
      <c r="E174" s="28">
        <f>INDEX(Data_Svensson!$B$4:$B$202,MATCH($A174,Data_Svensson!$A$4:$A$202,1))</f>
        <v>1.2518370000000001</v>
      </c>
      <c r="F174" s="28">
        <f>INDEX(Data_Svensson!$C$4:$C$202,MATCH($A174,Data_Svensson!$A$4:$A$202,1))</f>
        <v>0.68254400000000004</v>
      </c>
      <c r="G174" s="28">
        <f>INDEX(Data_Svensson!$D$4:$D$202,MATCH($A174,Data_Svensson!$A$4:$A$202,1))</f>
        <v>2.166982</v>
      </c>
      <c r="H174" s="28">
        <f>INDEX(Data_Svensson!$E$4:$E$202,MATCH($A174,Data_Svensson!$A$4:$A$202,1))</f>
        <v>7.4318140000000001</v>
      </c>
      <c r="I174" s="28">
        <f>INDEX(Data_Svensson!$F$4:$F$202,MATCH($A174,Data_Svensson!$A$4:$A$202,1))</f>
        <v>0.89878000000000002</v>
      </c>
      <c r="J174" s="28">
        <f>INDEX(Data_Svensson!$G$4:$G$202,MATCH($A174,Data_Svensson!$A$4:$A$202,1))</f>
        <v>15.276915000000001</v>
      </c>
      <c r="K174" s="28">
        <f t="shared" si="106"/>
        <v>0.57784023576137677</v>
      </c>
      <c r="L174" s="28">
        <f t="shared" si="107"/>
        <v>0.28240595088312531</v>
      </c>
      <c r="M174" s="28">
        <f t="shared" si="108"/>
        <v>3.4197496825543849E-2</v>
      </c>
      <c r="N174" s="29">
        <f t="shared" si="109"/>
        <v>2.5123564338071624E-2</v>
      </c>
      <c r="O174" s="29">
        <f t="shared" si="110"/>
        <v>1.9123564338071622E-2</v>
      </c>
      <c r="P174" s="28">
        <f t="shared" si="111"/>
        <v>0.60298435882392609</v>
      </c>
      <c r="Q174" s="28">
        <f t="shared" si="112"/>
        <v>-0.44236001296636401</v>
      </c>
      <c r="R174" s="28">
        <f t="shared" si="113"/>
        <v>-0.59133114886640659</v>
      </c>
      <c r="S174" s="28">
        <f t="shared" si="114"/>
        <v>0.4772820033010583</v>
      </c>
      <c r="T174" s="28">
        <f t="shared" si="115"/>
        <v>-0.87339877539640409</v>
      </c>
      <c r="U174" s="28">
        <f t="shared" si="116"/>
        <v>0.19521437677106068</v>
      </c>
      <c r="V174" s="28">
        <f t="shared" si="117"/>
        <v>898.69414876033954</v>
      </c>
      <c r="W174" s="28">
        <f t="shared" si="118"/>
        <v>710.61566241842002</v>
      </c>
      <c r="X174" s="28">
        <f t="shared" si="119"/>
        <v>-50.84832523133602</v>
      </c>
      <c r="Y174" s="28">
        <f t="shared" si="120"/>
        <v>120.42847393518116</v>
      </c>
      <c r="Z174" s="28">
        <f t="shared" si="121"/>
        <v>16.80168717540235</v>
      </c>
      <c r="AA174" s="28">
        <f t="shared" si="122"/>
        <v>1046.9916434351421</v>
      </c>
      <c r="AB174" s="32">
        <f t="shared" si="123"/>
        <v>1063.7933306105444</v>
      </c>
      <c r="AC174" s="22">
        <f>INDEX(Data_Cert!$E$4:$E$195,MATCH($A174,Data_Cert!$A$4:$A$195,0))</f>
        <v>1149.1400000000001</v>
      </c>
      <c r="AD174" s="22">
        <f t="shared" si="124"/>
        <v>-85.346669389455656</v>
      </c>
      <c r="AE174" s="23">
        <f t="shared" si="125"/>
        <v>-7.4270036191809219E-2</v>
      </c>
      <c r="AF174" s="36">
        <f>Data_Stock!D174</f>
        <v>1063.42</v>
      </c>
    </row>
    <row r="175" spans="1:32" x14ac:dyDescent="0.2">
      <c r="A175" s="35">
        <f>Data_Stock!A175</f>
        <v>46157</v>
      </c>
      <c r="B175" s="36">
        <f>Data_Stock!B175</f>
        <v>1120</v>
      </c>
      <c r="C175" s="37">
        <f>Data_Stock!C175</f>
        <v>0.56399999999999995</v>
      </c>
      <c r="D175" s="38">
        <f t="shared" si="105"/>
        <v>1.0931506849315069</v>
      </c>
      <c r="E175" s="28">
        <f>INDEX(Data_Svensson!$B$4:$B$202,MATCH($A175,Data_Svensson!$A$4:$A$202,1))</f>
        <v>1.245539</v>
      </c>
      <c r="F175" s="28">
        <f>INDEX(Data_Svensson!$C$4:$C$202,MATCH($A175,Data_Svensson!$A$4:$A$202,1))</f>
        <v>0.68208500000000005</v>
      </c>
      <c r="G175" s="28">
        <f>INDEX(Data_Svensson!$D$4:$D$202,MATCH($A175,Data_Svensson!$A$4:$A$202,1))</f>
        <v>2.3341189999999998</v>
      </c>
      <c r="H175" s="28">
        <f>INDEX(Data_Svensson!$E$4:$E$202,MATCH($A175,Data_Svensson!$A$4:$A$202,1))</f>
        <v>7.6455029999999997</v>
      </c>
      <c r="I175" s="28">
        <f>INDEX(Data_Svensson!$F$4:$F$202,MATCH($A175,Data_Svensson!$A$4:$A$202,1))</f>
        <v>0.93424300000000005</v>
      </c>
      <c r="J175" s="28">
        <f>INDEX(Data_Svensson!$G$4:$G$202,MATCH($A175,Data_Svensson!$A$4:$A$202,1))</f>
        <v>14.799557</v>
      </c>
      <c r="K175" s="28">
        <f t="shared" si="106"/>
        <v>0.58940791352635513</v>
      </c>
      <c r="L175" s="28">
        <f t="shared" si="107"/>
        <v>0.27906966574219771</v>
      </c>
      <c r="M175" s="28">
        <f t="shared" si="108"/>
        <v>3.5162650878516E-2</v>
      </c>
      <c r="N175" s="29">
        <f t="shared" si="109"/>
        <v>2.5677832586097835E-2</v>
      </c>
      <c r="O175" s="29">
        <f t="shared" si="110"/>
        <v>1.9677832586097836E-2</v>
      </c>
      <c r="P175" s="28">
        <f t="shared" si="111"/>
        <v>0.58968369510609042</v>
      </c>
      <c r="Q175" s="28">
        <f t="shared" si="112"/>
        <v>-0.43813869842406744</v>
      </c>
      <c r="R175" s="28">
        <f t="shared" si="113"/>
        <v>-0.65194990490169435</v>
      </c>
      <c r="S175" s="28">
        <f t="shared" si="114"/>
        <v>0.44076644750582217</v>
      </c>
      <c r="T175" s="28">
        <f t="shared" si="115"/>
        <v>-0.87084190301251208</v>
      </c>
      <c r="U175" s="28">
        <f t="shared" si="116"/>
        <v>0.2218744493950045</v>
      </c>
      <c r="V175" s="28">
        <f t="shared" si="117"/>
        <v>909.72438652272683</v>
      </c>
      <c r="W175" s="28">
        <f t="shared" si="118"/>
        <v>720.58490876215876</v>
      </c>
      <c r="X175" s="28">
        <f t="shared" si="119"/>
        <v>-50.296111102303229</v>
      </c>
      <c r="Y175" s="28">
        <f t="shared" si="120"/>
        <v>125.3442816056014</v>
      </c>
      <c r="Z175" s="28">
        <f t="shared" si="121"/>
        <v>13.499085052663446</v>
      </c>
      <c r="AA175" s="28">
        <f t="shared" si="122"/>
        <v>1034.9167225369783</v>
      </c>
      <c r="AB175" s="32">
        <f t="shared" si="123"/>
        <v>1048.4158075896419</v>
      </c>
      <c r="AC175" s="22">
        <f>INDEX(Data_Cert!$E$4:$E$195,MATCH($A175,Data_Cert!$A$4:$A$195,0))</f>
        <v>1112.6500000000001</v>
      </c>
      <c r="AD175" s="22">
        <f t="shared" si="124"/>
        <v>-64.234192410358219</v>
      </c>
      <c r="AE175" s="23">
        <f t="shared" si="125"/>
        <v>-5.7730815989177384E-2</v>
      </c>
      <c r="AF175" s="36">
        <f>Data_Stock!D175</f>
        <v>1053.52</v>
      </c>
    </row>
    <row r="176" spans="1:32" x14ac:dyDescent="0.2">
      <c r="A176" s="35">
        <f>Data_Stock!A176</f>
        <v>46160</v>
      </c>
      <c r="B176" s="36">
        <f>Data_Stock!B176</f>
        <v>1172</v>
      </c>
      <c r="C176" s="37">
        <f>Data_Stock!C176</f>
        <v>0.57499999999999996</v>
      </c>
      <c r="D176" s="38">
        <f t="shared" si="105"/>
        <v>1.0849315068493151</v>
      </c>
      <c r="E176" s="28">
        <f>INDEX(Data_Svensson!$B$4:$B$202,MATCH($A176,Data_Svensson!$A$4:$A$202,1))</f>
        <v>1.2548299999999999</v>
      </c>
      <c r="F176" s="28">
        <f>INDEX(Data_Svensson!$C$4:$C$202,MATCH($A176,Data_Svensson!$A$4:$A$202,1))</f>
        <v>0.700515</v>
      </c>
      <c r="G176" s="28">
        <f>INDEX(Data_Svensson!$D$4:$D$202,MATCH($A176,Data_Svensson!$A$4:$A$202,1))</f>
        <v>2.164015</v>
      </c>
      <c r="H176" s="28">
        <f>INDEX(Data_Svensson!$E$4:$E$202,MATCH($A176,Data_Svensson!$A$4:$A$202,1))</f>
        <v>7.643535</v>
      </c>
      <c r="I176" s="28">
        <f>INDEX(Data_Svensson!$F$4:$F$202,MATCH($A176,Data_Svensson!$A$4:$A$202,1))</f>
        <v>0.90795300000000001</v>
      </c>
      <c r="J176" s="28">
        <f>INDEX(Data_Svensson!$G$4:$G$202,MATCH($A176,Data_Svensson!$A$4:$A$202,1))</f>
        <v>14.964658</v>
      </c>
      <c r="K176" s="28">
        <f t="shared" si="106"/>
        <v>0.58353005494116383</v>
      </c>
      <c r="L176" s="28">
        <f t="shared" si="107"/>
        <v>0.28080198619661484</v>
      </c>
      <c r="M176" s="28">
        <f t="shared" si="108"/>
        <v>3.454445636265846E-2</v>
      </c>
      <c r="N176" s="29">
        <f t="shared" si="109"/>
        <v>2.5353030278603292E-2</v>
      </c>
      <c r="O176" s="29">
        <f t="shared" si="110"/>
        <v>1.9353030278603293E-2</v>
      </c>
      <c r="P176" s="28">
        <f t="shared" si="111"/>
        <v>0.5989202613470801</v>
      </c>
      <c r="Q176" s="28">
        <f t="shared" si="112"/>
        <v>-0.4414653148473246</v>
      </c>
      <c r="R176" s="28">
        <f t="shared" si="113"/>
        <v>-0.55781388431476953</v>
      </c>
      <c r="S176" s="28">
        <f t="shared" si="114"/>
        <v>0.51805056371916036</v>
      </c>
      <c r="T176" s="28">
        <f t="shared" si="115"/>
        <v>-0.9248795325469914</v>
      </c>
      <c r="U176" s="28">
        <f t="shared" si="116"/>
        <v>0.15098491548693846</v>
      </c>
      <c r="V176" s="28">
        <f t="shared" si="117"/>
        <v>876.58388410681459</v>
      </c>
      <c r="W176" s="28">
        <f t="shared" si="118"/>
        <v>683.68051423363852</v>
      </c>
      <c r="X176" s="28">
        <f t="shared" si="119"/>
        <v>-46.067107473920686</v>
      </c>
      <c r="Y176" s="28">
        <f t="shared" si="120"/>
        <v>124.5949949634155</v>
      </c>
      <c r="Z176" s="28">
        <f t="shared" si="121"/>
        <v>22.241267435839887</v>
      </c>
      <c r="AA176" s="28">
        <f t="shared" si="122"/>
        <v>1069.1532202038784</v>
      </c>
      <c r="AB176" s="32">
        <f t="shared" si="123"/>
        <v>1091.3944876397184</v>
      </c>
      <c r="AC176" s="22">
        <f>INDEX(Data_Cert!$E$4:$E$195,MATCH($A176,Data_Cert!$A$4:$A$195,0))</f>
        <v>1186.3800000000001</v>
      </c>
      <c r="AD176" s="22">
        <f t="shared" si="124"/>
        <v>-94.985512360281746</v>
      </c>
      <c r="AE176" s="23">
        <f t="shared" si="125"/>
        <v>-8.0063312227348526E-2</v>
      </c>
      <c r="AF176" s="36">
        <f>Data_Stock!D176</f>
        <v>1096.6300000000001</v>
      </c>
    </row>
    <row r="177" spans="1:32" x14ac:dyDescent="0.2">
      <c r="A177" s="35">
        <f>Data_Stock!A177</f>
        <v>46161</v>
      </c>
      <c r="B177" s="36">
        <f>Data_Stock!B177</f>
        <v>1207</v>
      </c>
      <c r="C177" s="37">
        <f>Data_Stock!C177</f>
        <v>0.56899999999999995</v>
      </c>
      <c r="D177" s="38">
        <f t="shared" si="105"/>
        <v>1.0821917808219179</v>
      </c>
      <c r="E177" s="28">
        <f>INDEX(Data_Svensson!$B$4:$B$202,MATCH($A177,Data_Svensson!$A$4:$A$202,1))</f>
        <v>1.247676</v>
      </c>
      <c r="F177" s="28">
        <f>INDEX(Data_Svensson!$C$4:$C$202,MATCH($A177,Data_Svensson!$A$4:$A$202,1))</f>
        <v>0.67904299999999995</v>
      </c>
      <c r="G177" s="28">
        <f>INDEX(Data_Svensson!$D$4:$D$202,MATCH($A177,Data_Svensson!$A$4:$A$202,1))</f>
        <v>2.3044660000000001</v>
      </c>
      <c r="H177" s="28">
        <f>INDEX(Data_Svensson!$E$4:$E$202,MATCH($A177,Data_Svensson!$A$4:$A$202,1))</f>
        <v>7.7735339999999997</v>
      </c>
      <c r="I177" s="28">
        <f>INDEX(Data_Svensson!$F$4:$F$202,MATCH($A177,Data_Svensson!$A$4:$A$202,1))</f>
        <v>0.95436500000000002</v>
      </c>
      <c r="J177" s="28">
        <f>INDEX(Data_Svensson!$G$4:$G$202,MATCH($A177,Data_Svensson!$A$4:$A$202,1))</f>
        <v>14.927337</v>
      </c>
      <c r="K177" s="28">
        <f t="shared" si="106"/>
        <v>0.59812445254707747</v>
      </c>
      <c r="L177" s="28">
        <f t="shared" si="107"/>
        <v>0.276361150723411</v>
      </c>
      <c r="M177" s="28">
        <f t="shared" si="108"/>
        <v>3.454342416563061E-2</v>
      </c>
      <c r="N177" s="29">
        <f t="shared" si="109"/>
        <v>2.5592175804218523E-2</v>
      </c>
      <c r="O177" s="29">
        <f t="shared" si="110"/>
        <v>1.9592175804218522E-2</v>
      </c>
      <c r="P177" s="28">
        <f t="shared" si="111"/>
        <v>0.5919218640586652</v>
      </c>
      <c r="Q177" s="28">
        <f t="shared" si="112"/>
        <v>-0.4394856829444605</v>
      </c>
      <c r="R177" s="28">
        <f t="shared" si="113"/>
        <v>-0.52138807329961656</v>
      </c>
      <c r="S177" s="28">
        <f t="shared" si="114"/>
        <v>0.56719651111210456</v>
      </c>
      <c r="T177" s="28">
        <f t="shared" si="115"/>
        <v>-0.99221973675765618</v>
      </c>
      <c r="U177" s="28">
        <f t="shared" si="116"/>
        <v>9.6364847654064806E-2</v>
      </c>
      <c r="V177" s="28">
        <f t="shared" si="117"/>
        <v>848.8730648095368</v>
      </c>
      <c r="W177" s="28">
        <f t="shared" si="118"/>
        <v>649.75471014589539</v>
      </c>
      <c r="X177" s="28">
        <f t="shared" si="119"/>
        <v>-40.267960753783484</v>
      </c>
      <c r="Y177" s="28">
        <f t="shared" si="120"/>
        <v>129.61853794314288</v>
      </c>
      <c r="Z177" s="28">
        <f t="shared" si="121"/>
        <v>29.231855966715045</v>
      </c>
      <c r="AA177" s="28">
        <f t="shared" si="122"/>
        <v>1096.4956666347175</v>
      </c>
      <c r="AB177" s="32">
        <f t="shared" si="123"/>
        <v>1125.7275226014326</v>
      </c>
      <c r="AC177" s="22">
        <f>INDEX(Data_Cert!$E$4:$E$195,MATCH($A177,Data_Cert!$A$4:$A$195,0))</f>
        <v>1221.67</v>
      </c>
      <c r="AD177" s="22">
        <f t="shared" si="124"/>
        <v>-95.942477398567462</v>
      </c>
      <c r="AE177" s="23">
        <f t="shared" si="125"/>
        <v>-7.853387363082294E-2</v>
      </c>
      <c r="AF177" s="36">
        <f>Data_Stock!D177</f>
        <v>1135.0999999999999</v>
      </c>
    </row>
    <row r="178" spans="1:32" x14ac:dyDescent="0.2">
      <c r="A178" s="35">
        <f>Data_Stock!A178</f>
        <v>46162</v>
      </c>
      <c r="B178" s="36">
        <f>Data_Stock!B178</f>
        <v>1233.5999999999999</v>
      </c>
      <c r="C178" s="37">
        <f>Data_Stock!C178</f>
        <v>0.55800000000000005</v>
      </c>
      <c r="D178" s="38">
        <f t="shared" si="105"/>
        <v>1.0794520547945206</v>
      </c>
      <c r="E178" s="28">
        <f>INDEX(Data_Svensson!$B$4:$B$202,MATCH($A178,Data_Svensson!$A$4:$A$202,1))</f>
        <v>1.250014</v>
      </c>
      <c r="F178" s="28">
        <f>INDEX(Data_Svensson!$C$4:$C$202,MATCH($A178,Data_Svensson!$A$4:$A$202,1))</f>
        <v>0.67327000000000004</v>
      </c>
      <c r="G178" s="28">
        <f>INDEX(Data_Svensson!$D$4:$D$202,MATCH($A178,Data_Svensson!$A$4:$A$202,1))</f>
        <v>2.3042310000000001</v>
      </c>
      <c r="H178" s="28">
        <f>INDEX(Data_Svensson!$E$4:$E$202,MATCH($A178,Data_Svensson!$A$4:$A$202,1))</f>
        <v>7.6493029999999997</v>
      </c>
      <c r="I178" s="28">
        <f>INDEX(Data_Svensson!$F$4:$F$202,MATCH($A178,Data_Svensson!$A$4:$A$202,1))</f>
        <v>0.91559999999999997</v>
      </c>
      <c r="J178" s="28">
        <f>INDEX(Data_Svensson!$G$4:$G$202,MATCH($A178,Data_Svensson!$A$4:$A$202,1))</f>
        <v>14.797813</v>
      </c>
      <c r="K178" s="28">
        <f t="shared" si="106"/>
        <v>0.58729953691609105</v>
      </c>
      <c r="L178" s="28">
        <f t="shared" si="107"/>
        <v>0.27969981204053934</v>
      </c>
      <c r="M178" s="28">
        <f t="shared" si="108"/>
        <v>3.4747213811197941E-2</v>
      </c>
      <c r="N178" s="29">
        <f t="shared" si="109"/>
        <v>2.5557101036651188E-2</v>
      </c>
      <c r="O178" s="29">
        <f t="shared" si="110"/>
        <v>1.9557101036651189E-2</v>
      </c>
      <c r="P178" s="28">
        <f t="shared" si="111"/>
        <v>0.57974348602553627</v>
      </c>
      <c r="Q178" s="28">
        <f t="shared" si="112"/>
        <v>-0.4371889459389936</v>
      </c>
      <c r="R178" s="28">
        <f t="shared" si="113"/>
        <v>-0.50720405856480388</v>
      </c>
      <c r="S178" s="28">
        <f t="shared" si="114"/>
        <v>0.60424787133601965</v>
      </c>
      <c r="T178" s="28">
        <f t="shared" si="115"/>
        <v>-1.0631277163267741</v>
      </c>
      <c r="U178" s="28">
        <f t="shared" si="116"/>
        <v>4.8324213574049313E-2</v>
      </c>
      <c r="V178" s="28">
        <f t="shared" si="117"/>
        <v>825.47342733015239</v>
      </c>
      <c r="W178" s="28">
        <f t="shared" si="118"/>
        <v>619.36977813093824</v>
      </c>
      <c r="X178" s="28">
        <f t="shared" si="119"/>
        <v>-34.615099445976767</v>
      </c>
      <c r="Y178" s="28">
        <f t="shared" si="120"/>
        <v>135.67603476736781</v>
      </c>
      <c r="Z178" s="28">
        <f t="shared" si="121"/>
        <v>35.812514985869569</v>
      </c>
      <c r="AA178" s="28">
        <f t="shared" si="122"/>
        <v>1120.1053706903674</v>
      </c>
      <c r="AB178" s="32">
        <f t="shared" si="123"/>
        <v>1155.9178856762369</v>
      </c>
      <c r="AC178" s="22">
        <f>INDEX(Data_Cert!$E$4:$E$195,MATCH($A178,Data_Cert!$A$4:$A$195,0))</f>
        <v>1263.81</v>
      </c>
      <c r="AD178" s="22">
        <f t="shared" si="124"/>
        <v>-107.89211432376305</v>
      </c>
      <c r="AE178" s="23">
        <f t="shared" si="125"/>
        <v>-8.5370517976407101E-2</v>
      </c>
      <c r="AF178" s="36">
        <f>Data_Stock!D178</f>
        <v>1156.46</v>
      </c>
    </row>
    <row r="179" spans="1:32" x14ac:dyDescent="0.2">
      <c r="A179" s="35">
        <f>Data_Stock!A179</f>
        <v>46163</v>
      </c>
      <c r="B179" s="36">
        <f>Data_Stock!B179</f>
        <v>1209.4000000000001</v>
      </c>
      <c r="C179" s="37">
        <f>Data_Stock!C179</f>
        <v>0.54600000000000004</v>
      </c>
      <c r="D179" s="38">
        <f t="shared" si="105"/>
        <v>1.0767123287671232</v>
      </c>
      <c r="E179" s="28">
        <f>INDEX(Data_Svensson!$B$4:$B$202,MATCH($A179,Data_Svensson!$A$4:$A$202,1))</f>
        <v>1.2569440000000001</v>
      </c>
      <c r="F179" s="28">
        <f>INDEX(Data_Svensson!$C$4:$C$202,MATCH($A179,Data_Svensson!$A$4:$A$202,1))</f>
        <v>0.67449599999999998</v>
      </c>
      <c r="G179" s="28">
        <f>INDEX(Data_Svensson!$D$4:$D$202,MATCH($A179,Data_Svensson!$A$4:$A$202,1))</f>
        <v>2.231697</v>
      </c>
      <c r="H179" s="28">
        <f>INDEX(Data_Svensson!$E$4:$E$202,MATCH($A179,Data_Svensson!$A$4:$A$202,1))</f>
        <v>7.4985710000000001</v>
      </c>
      <c r="I179" s="28">
        <f>INDEX(Data_Svensson!$F$4:$F$202,MATCH($A179,Data_Svensson!$A$4:$A$202,1))</f>
        <v>0.86063599999999996</v>
      </c>
      <c r="J179" s="28">
        <f>INDEX(Data_Svensson!$G$4:$G$202,MATCH($A179,Data_Svensson!$A$4:$A$202,1))</f>
        <v>14.842003</v>
      </c>
      <c r="K179" s="28">
        <f t="shared" si="106"/>
        <v>0.57055382418513256</v>
      </c>
      <c r="L179" s="28">
        <f t="shared" si="107"/>
        <v>0.28435424239371543</v>
      </c>
      <c r="M179" s="28">
        <f t="shared" si="108"/>
        <v>3.4565031264097601E-2</v>
      </c>
      <c r="N179" s="29">
        <f t="shared" si="109"/>
        <v>2.5355611229359587E-2</v>
      </c>
      <c r="O179" s="29">
        <f t="shared" si="110"/>
        <v>1.9355611229359589E-2</v>
      </c>
      <c r="P179" s="28">
        <f t="shared" si="111"/>
        <v>0.56655553355583754</v>
      </c>
      <c r="Q179" s="28">
        <f t="shared" si="112"/>
        <v>-0.43507355784540386</v>
      </c>
      <c r="R179" s="28">
        <f t="shared" si="113"/>
        <v>-0.56779923786309738</v>
      </c>
      <c r="S179" s="28">
        <f t="shared" si="114"/>
        <v>0.56952442809136794</v>
      </c>
      <c r="T179" s="28">
        <f t="shared" si="115"/>
        <v>-1.066723690336437</v>
      </c>
      <c r="U179" s="28">
        <f t="shared" si="116"/>
        <v>7.0599975618028388E-2</v>
      </c>
      <c r="V179" s="28">
        <f t="shared" si="117"/>
        <v>837.35350608568365</v>
      </c>
      <c r="W179" s="28">
        <f t="shared" si="118"/>
        <v>628.90473166194715</v>
      </c>
      <c r="X179" s="28">
        <f t="shared" si="119"/>
        <v>-33.826589530162835</v>
      </c>
      <c r="Y179" s="28">
        <f t="shared" si="120"/>
        <v>141.21280184762611</v>
      </c>
      <c r="Z179" s="28">
        <f t="shared" si="121"/>
        <v>33.40938304594755</v>
      </c>
      <c r="AA179" s="28">
        <f t="shared" si="122"/>
        <v>1108.7836870448295</v>
      </c>
      <c r="AB179" s="32">
        <f t="shared" si="123"/>
        <v>1142.1930700907772</v>
      </c>
      <c r="AC179" s="22">
        <f>INDEX(Data_Cert!$E$4:$E$195,MATCH($A179,Data_Cert!$A$4:$A$195,0))</f>
        <v>1239.6400000000001</v>
      </c>
      <c r="AD179" s="22">
        <f t="shared" si="124"/>
        <v>-97.446929909222945</v>
      </c>
      <c r="AE179" s="23">
        <f t="shared" si="125"/>
        <v>-7.8609055781697051E-2</v>
      </c>
      <c r="AF179" s="36">
        <f>Data_Stock!D179</f>
        <v>1148.52</v>
      </c>
    </row>
    <row r="180" spans="1:32" x14ac:dyDescent="0.2">
      <c r="A180" s="35">
        <f>Data_Stock!A180</f>
        <v>46164</v>
      </c>
      <c r="B180" s="36">
        <f>Data_Stock!B180</f>
        <v>1227.2</v>
      </c>
      <c r="C180" s="37">
        <f>Data_Stock!C180</f>
        <v>0.53300000000000003</v>
      </c>
      <c r="D180" s="38">
        <f t="shared" si="105"/>
        <v>1.0739726027397261</v>
      </c>
      <c r="E180" s="28">
        <f>INDEX(Data_Svensson!$B$4:$B$202,MATCH($A180,Data_Svensson!$A$4:$A$202,1))</f>
        <v>1.2675920000000001</v>
      </c>
      <c r="F180" s="28">
        <f>INDEX(Data_Svensson!$C$4:$C$202,MATCH($A180,Data_Svensson!$A$4:$A$202,1))</f>
        <v>0.67511200000000005</v>
      </c>
      <c r="G180" s="28">
        <f>INDEX(Data_Svensson!$D$4:$D$202,MATCH($A180,Data_Svensson!$A$4:$A$202,1))</f>
        <v>1.9695499999999999</v>
      </c>
      <c r="H180" s="28">
        <f>INDEX(Data_Svensson!$E$4:$E$202,MATCH($A180,Data_Svensson!$A$4:$A$202,1))</f>
        <v>7.3468540000000004</v>
      </c>
      <c r="I180" s="28">
        <f>INDEX(Data_Svensson!$F$4:$F$202,MATCH($A180,Data_Svensson!$A$4:$A$202,1))</f>
        <v>0.98474200000000001</v>
      </c>
      <c r="J180" s="28">
        <f>INDEX(Data_Svensson!$G$4:$G$202,MATCH($A180,Data_Svensson!$A$4:$A$202,1))</f>
        <v>15.581269000000001</v>
      </c>
      <c r="K180" s="28">
        <f t="shared" si="106"/>
        <v>0.60882228170537089</v>
      </c>
      <c r="L180" s="28">
        <f t="shared" si="107"/>
        <v>0.27281188557019637</v>
      </c>
      <c r="M180" s="28">
        <f t="shared" si="108"/>
        <v>3.2920120334565706E-2</v>
      </c>
      <c r="N180" s="29">
        <f t="shared" si="109"/>
        <v>2.4577911952319419E-2</v>
      </c>
      <c r="O180" s="29">
        <f t="shared" si="110"/>
        <v>1.857791195231942E-2</v>
      </c>
      <c r="P180" s="28">
        <f t="shared" si="111"/>
        <v>0.55236202144945312</v>
      </c>
      <c r="Q180" s="28">
        <f t="shared" si="112"/>
        <v>-0.43460531047552203</v>
      </c>
      <c r="R180" s="28">
        <f t="shared" si="113"/>
        <v>-0.57192194039219335</v>
      </c>
      <c r="S180" s="28">
        <f t="shared" si="114"/>
        <v>0.5946264307279937</v>
      </c>
      <c r="T180" s="28">
        <f t="shared" si="115"/>
        <v>-1.1365696946031274</v>
      </c>
      <c r="U180" s="28">
        <f t="shared" si="116"/>
        <v>2.9978676517059599E-2</v>
      </c>
      <c r="V180" s="28">
        <f t="shared" si="117"/>
        <v>820.39001086862925</v>
      </c>
      <c r="W180" s="28">
        <f t="shared" si="118"/>
        <v>604.52699614139829</v>
      </c>
      <c r="X180" s="28">
        <f t="shared" si="119"/>
        <v>-28.94205430746463</v>
      </c>
      <c r="Y180" s="28">
        <f t="shared" si="120"/>
        <v>147.44524194618066</v>
      </c>
      <c r="Z180" s="28">
        <f t="shared" si="121"/>
        <v>39.475718473585687</v>
      </c>
      <c r="AA180" s="28">
        <f t="shared" si="122"/>
        <v>1127.5086398024018</v>
      </c>
      <c r="AB180" s="32">
        <f t="shared" si="123"/>
        <v>1166.9843582759875</v>
      </c>
      <c r="AC180" s="22">
        <f>INDEX(Data_Cert!$E$4:$E$195,MATCH($A180,Data_Cert!$A$4:$A$195,0))</f>
        <v>1247.75</v>
      </c>
      <c r="AD180" s="22">
        <f t="shared" si="124"/>
        <v>-80.765641724012539</v>
      </c>
      <c r="AE180" s="23">
        <f t="shared" si="125"/>
        <v>-6.472902562533564E-2</v>
      </c>
      <c r="AF180" s="36">
        <f>Data_Stock!D180</f>
        <v>1166.5999999999999</v>
      </c>
    </row>
    <row r="181" spans="1:32" x14ac:dyDescent="0.2">
      <c r="A181" s="35">
        <f>Data_Stock!A181</f>
        <v>46167</v>
      </c>
      <c r="B181" s="36">
        <f>Data_Stock!B181</f>
        <v>1243.5999999999999</v>
      </c>
      <c r="C181" s="37">
        <f>Data_Stock!C181</f>
        <v>0.51900000000000002</v>
      </c>
      <c r="D181" s="38">
        <f t="shared" si="105"/>
        <v>1.0657534246575342</v>
      </c>
      <c r="E181" s="28">
        <f>INDEX(Data_Svensson!$B$4:$B$202,MATCH($A181,Data_Svensson!$A$4:$A$202,1))</f>
        <v>1.274524</v>
      </c>
      <c r="F181" s="28">
        <f>INDEX(Data_Svensson!$C$4:$C$202,MATCH($A181,Data_Svensson!$A$4:$A$202,1))</f>
        <v>0.68696999999999997</v>
      </c>
      <c r="G181" s="28">
        <f>INDEX(Data_Svensson!$D$4:$D$202,MATCH($A181,Data_Svensson!$A$4:$A$202,1))</f>
        <v>1.71078</v>
      </c>
      <c r="H181" s="28">
        <f>INDEX(Data_Svensson!$E$4:$E$202,MATCH($A181,Data_Svensson!$A$4:$A$202,1))</f>
        <v>7.0827960000000001</v>
      </c>
      <c r="I181" s="28">
        <f>INDEX(Data_Svensson!$F$4:$F$202,MATCH($A181,Data_Svensson!$A$4:$A$202,1))</f>
        <v>0.95751299999999995</v>
      </c>
      <c r="J181" s="28">
        <f>INDEX(Data_Svensson!$G$4:$G$202,MATCH($A181,Data_Svensson!$A$4:$A$202,1))</f>
        <v>15.889504000000001</v>
      </c>
      <c r="K181" s="28">
        <f t="shared" si="106"/>
        <v>0.60324918398016558</v>
      </c>
      <c r="L181" s="28">
        <f t="shared" si="107"/>
        <v>0.27469164350679809</v>
      </c>
      <c r="M181" s="28">
        <f t="shared" si="108"/>
        <v>3.2073863062352381E-2</v>
      </c>
      <c r="N181" s="29">
        <f t="shared" si="109"/>
        <v>2.3860476907999913E-2</v>
      </c>
      <c r="O181" s="29">
        <f t="shared" si="110"/>
        <v>1.7860476907999912E-2</v>
      </c>
      <c r="P181" s="28">
        <f t="shared" si="111"/>
        <v>0.53579138498036538</v>
      </c>
      <c r="Q181" s="28">
        <f t="shared" si="112"/>
        <v>-0.43369315933635566</v>
      </c>
      <c r="R181" s="28">
        <f t="shared" si="113"/>
        <v>-0.58337203915406621</v>
      </c>
      <c r="S181" s="28">
        <f t="shared" si="114"/>
        <v>0.61925464439017663</v>
      </c>
      <c r="T181" s="28">
        <f t="shared" si="115"/>
        <v>-1.215036674968361</v>
      </c>
      <c r="U181" s="28">
        <f t="shared" si="116"/>
        <v>-1.2409991424118361E-2</v>
      </c>
      <c r="V181" s="28">
        <f t="shared" si="117"/>
        <v>803.41207996432172</v>
      </c>
      <c r="W181" s="28">
        <f t="shared" si="118"/>
        <v>579.03947440003094</v>
      </c>
      <c r="X181" s="28">
        <f t="shared" si="119"/>
        <v>-24.143008678293853</v>
      </c>
      <c r="Y181" s="28">
        <f t="shared" si="120"/>
        <v>153.81663283915691</v>
      </c>
      <c r="Z181" s="28">
        <f t="shared" si="121"/>
        <v>46.412964046840017</v>
      </c>
      <c r="AA181" s="28">
        <f t="shared" si="122"/>
        <v>1146.3703570343894</v>
      </c>
      <c r="AB181" s="32">
        <f t="shared" si="123"/>
        <v>1192.7833210812294</v>
      </c>
      <c r="AC181" s="22">
        <f>INDEX(Data_Cert!$E$4:$E$195,MATCH($A181,Data_Cert!$A$4:$A$195,0))</f>
        <v>1268.98</v>
      </c>
      <c r="AD181" s="22">
        <f t="shared" si="124"/>
        <v>-76.196678918770658</v>
      </c>
      <c r="AE181" s="23">
        <f t="shared" si="125"/>
        <v>-6.0045610583910426E-2</v>
      </c>
      <c r="AF181" s="36">
        <f>Data_Stock!D181</f>
        <v>1201.9000000000001</v>
      </c>
    </row>
    <row r="182" spans="1:32" x14ac:dyDescent="0.2">
      <c r="A182" s="35">
        <f>Data_Stock!A182</f>
        <v>46168</v>
      </c>
      <c r="B182" s="36">
        <f>Data_Stock!B182</f>
        <v>1237.2</v>
      </c>
      <c r="C182" s="37">
        <f>Data_Stock!C182</f>
        <v>0.504</v>
      </c>
      <c r="D182" s="38">
        <f t="shared" si="105"/>
        <v>1.0630136986301371</v>
      </c>
      <c r="E182" s="28">
        <f>INDEX(Data_Svensson!$B$4:$B$202,MATCH($A182,Data_Svensson!$A$4:$A$202,1))</f>
        <v>1.278278</v>
      </c>
      <c r="F182" s="28">
        <f>INDEX(Data_Svensson!$C$4:$C$202,MATCH($A182,Data_Svensson!$A$4:$A$202,1))</f>
        <v>0.67599399999999998</v>
      </c>
      <c r="G182" s="28">
        <f>INDEX(Data_Svensson!$D$4:$D$202,MATCH($A182,Data_Svensson!$A$4:$A$202,1))</f>
        <v>1.8470089999999999</v>
      </c>
      <c r="H182" s="28">
        <f>INDEX(Data_Svensson!$E$4:$E$202,MATCH($A182,Data_Svensson!$A$4:$A$202,1))</f>
        <v>7.168526</v>
      </c>
      <c r="I182" s="28">
        <f>INDEX(Data_Svensson!$F$4:$F$202,MATCH($A182,Data_Svensson!$A$4:$A$202,1))</f>
        <v>0.97498799999999997</v>
      </c>
      <c r="J182" s="28">
        <f>INDEX(Data_Svensson!$G$4:$G$202,MATCH($A182,Data_Svensson!$A$4:$A$202,1))</f>
        <v>15.774611</v>
      </c>
      <c r="K182" s="28">
        <f t="shared" si="106"/>
        <v>0.60890466265979593</v>
      </c>
      <c r="L182" s="28">
        <f t="shared" si="107"/>
        <v>0.2727836002130023</v>
      </c>
      <c r="M182" s="28">
        <f t="shared" si="108"/>
        <v>3.2217692704510803E-2</v>
      </c>
      <c r="N182" s="29">
        <f t="shared" si="109"/>
        <v>2.4246810309881593E-2</v>
      </c>
      <c r="O182" s="29">
        <f t="shared" si="110"/>
        <v>1.8246810309881595E-2</v>
      </c>
      <c r="P182" s="28">
        <f t="shared" si="111"/>
        <v>0.5196368805918542</v>
      </c>
      <c r="Q182" s="28">
        <f t="shared" si="112"/>
        <v>-0.4281666890672966</v>
      </c>
      <c r="R182" s="28">
        <f t="shared" si="113"/>
        <v>-0.62714672062664634</v>
      </c>
      <c r="S182" s="28">
        <f t="shared" si="114"/>
        <v>0.61286729773287774</v>
      </c>
      <c r="T182" s="28">
        <f t="shared" si="115"/>
        <v>-1.2585899602692381</v>
      </c>
      <c r="U182" s="28">
        <f t="shared" si="116"/>
        <v>-1.8575941909714122E-2</v>
      </c>
      <c r="V182" s="28">
        <f t="shared" si="117"/>
        <v>800.82248230492473</v>
      </c>
      <c r="W182" s="28">
        <f t="shared" si="118"/>
        <v>570.26707283747112</v>
      </c>
      <c r="X182" s="28">
        <f t="shared" si="119"/>
        <v>-21.541312087320321</v>
      </c>
      <c r="Y182" s="28">
        <f t="shared" si="120"/>
        <v>160.24061397637979</v>
      </c>
      <c r="Z182" s="28">
        <f t="shared" si="121"/>
        <v>48.773483403753517</v>
      </c>
      <c r="AA182" s="28">
        <f t="shared" si="122"/>
        <v>1148.2867983178319</v>
      </c>
      <c r="AB182" s="32">
        <f t="shared" si="123"/>
        <v>1197.0602817215854</v>
      </c>
      <c r="AC182" s="22">
        <f>INDEX(Data_Cert!$E$4:$E$195,MATCH($A182,Data_Cert!$A$4:$A$195,0))</f>
        <v>1268.69</v>
      </c>
      <c r="AD182" s="22">
        <f t="shared" si="124"/>
        <v>-71.629718278414657</v>
      </c>
      <c r="AE182" s="23">
        <f t="shared" si="125"/>
        <v>-5.6459590820779428E-2</v>
      </c>
      <c r="AF182" s="36">
        <f>Data_Stock!D182</f>
        <v>1206.68</v>
      </c>
    </row>
    <row r="183" spans="1:32" x14ac:dyDescent="0.2">
      <c r="A183" s="35">
        <f>Data_Stock!A183</f>
        <v>46169</v>
      </c>
      <c r="B183" s="36">
        <f>Data_Stock!B183</f>
        <v>1232.8</v>
      </c>
      <c r="C183" s="37">
        <f>Data_Stock!C183</f>
        <v>0.48899999999999999</v>
      </c>
      <c r="D183" s="38">
        <f t="shared" si="105"/>
        <v>1.0602739726027397</v>
      </c>
      <c r="E183" s="28">
        <f>INDEX(Data_Svensson!$B$4:$B$202,MATCH($A183,Data_Svensson!$A$4:$A$202,1))</f>
        <v>1.297148</v>
      </c>
      <c r="F183" s="28">
        <f>INDEX(Data_Svensson!$C$4:$C$202,MATCH($A183,Data_Svensson!$A$4:$A$202,1))</f>
        <v>0.68361799999999995</v>
      </c>
      <c r="G183" s="28">
        <f>INDEX(Data_Svensson!$D$4:$D$202,MATCH($A183,Data_Svensson!$A$4:$A$202,1))</f>
        <v>1.8532230000000001</v>
      </c>
      <c r="H183" s="28">
        <f>INDEX(Data_Svensson!$E$4:$E$202,MATCH($A183,Data_Svensson!$A$4:$A$202,1))</f>
        <v>7.1154510000000002</v>
      </c>
      <c r="I183" s="28">
        <f>INDEX(Data_Svensson!$F$4:$F$202,MATCH($A183,Data_Svensson!$A$4:$A$202,1))</f>
        <v>0.86948099999999995</v>
      </c>
      <c r="J183" s="28">
        <f>INDEX(Data_Svensson!$G$4:$G$202,MATCH($A183,Data_Svensson!$A$4:$A$202,1))</f>
        <v>15.534298</v>
      </c>
      <c r="K183" s="28">
        <f t="shared" si="106"/>
        <v>0.57781144345539881</v>
      </c>
      <c r="L183" s="28">
        <f t="shared" si="107"/>
        <v>0.28241388395470701</v>
      </c>
      <c r="M183" s="28">
        <f t="shared" si="108"/>
        <v>3.2613045763806969E-2</v>
      </c>
      <c r="N183" s="29">
        <f t="shared" si="109"/>
        <v>2.4475827377094129E-2</v>
      </c>
      <c r="O183" s="29">
        <f t="shared" si="110"/>
        <v>1.8475827377094127E-2</v>
      </c>
      <c r="P183" s="28">
        <f t="shared" si="111"/>
        <v>0.50352137253818707</v>
      </c>
      <c r="Q183" s="28">
        <f t="shared" si="112"/>
        <v>-0.42273440067123291</v>
      </c>
      <c r="R183" s="28">
        <f t="shared" si="113"/>
        <v>-0.6702850539258417</v>
      </c>
      <c r="S183" s="28">
        <f t="shared" si="114"/>
        <v>0.60941636796692089</v>
      </c>
      <c r="T183" s="28">
        <f t="shared" si="115"/>
        <v>-1.3077866560734834</v>
      </c>
      <c r="U183" s="28">
        <f t="shared" si="116"/>
        <v>-2.8085234180720897E-2</v>
      </c>
      <c r="V183" s="28">
        <f t="shared" si="117"/>
        <v>797.35557036010414</v>
      </c>
      <c r="W183" s="28">
        <f t="shared" si="118"/>
        <v>560.08644007026214</v>
      </c>
      <c r="X183" s="28">
        <f t="shared" si="119"/>
        <v>-18.947099825173453</v>
      </c>
      <c r="Y183" s="28">
        <f t="shared" si="120"/>
        <v>166.52501242152283</v>
      </c>
      <c r="Z183" s="28">
        <f t="shared" si="121"/>
        <v>51.797018043145727</v>
      </c>
      <c r="AA183" s="28">
        <f t="shared" si="122"/>
        <v>1151.4099348223026</v>
      </c>
      <c r="AB183" s="32">
        <f t="shared" si="123"/>
        <v>1203.2069528654483</v>
      </c>
      <c r="AC183" s="22">
        <f>INDEX(Data_Cert!$E$4:$E$195,MATCH($A183,Data_Cert!$A$4:$A$195,0))</f>
        <v>1266.3499999999999</v>
      </c>
      <c r="AD183" s="22">
        <f t="shared" si="124"/>
        <v>-63.14304713455158</v>
      </c>
      <c r="AE183" s="23">
        <f t="shared" si="125"/>
        <v>-4.9862239613496728E-2</v>
      </c>
      <c r="AF183" s="36">
        <f>Data_Stock!D183</f>
        <v>1212.49</v>
      </c>
    </row>
    <row r="184" spans="1:32" x14ac:dyDescent="0.2">
      <c r="A184" s="35">
        <f>Data_Stock!A184</f>
        <v>46170</v>
      </c>
      <c r="B184" s="36">
        <f>Data_Stock!B184</f>
        <v>1284</v>
      </c>
      <c r="C184" s="37">
        <f>Data_Stock!C184</f>
        <v>0.499</v>
      </c>
      <c r="D184" s="38">
        <f t="shared" si="105"/>
        <v>1.0575342465753426</v>
      </c>
      <c r="E184" s="28">
        <f>INDEX(Data_Svensson!$B$4:$B$202,MATCH($A184,Data_Svensson!$A$4:$A$202,1))</f>
        <v>1.312516</v>
      </c>
      <c r="F184" s="28">
        <f>INDEX(Data_Svensson!$C$4:$C$202,MATCH($A184,Data_Svensson!$A$4:$A$202,1))</f>
        <v>0.71069499999999997</v>
      </c>
      <c r="G184" s="28">
        <f>INDEX(Data_Svensson!$D$4:$D$202,MATCH($A184,Data_Svensson!$A$4:$A$202,1))</f>
        <v>1.700558</v>
      </c>
      <c r="H184" s="28">
        <f>INDEX(Data_Svensson!$E$4:$E$202,MATCH($A184,Data_Svensson!$A$4:$A$202,1))</f>
        <v>7.1296200000000001</v>
      </c>
      <c r="I184" s="28">
        <f>INDEX(Data_Svensson!$F$4:$F$202,MATCH($A184,Data_Svensson!$A$4:$A$202,1))</f>
        <v>0.95299199999999995</v>
      </c>
      <c r="J184" s="28">
        <f>INDEX(Data_Svensson!$G$4:$G$202,MATCH($A184,Data_Svensson!$A$4:$A$202,1))</f>
        <v>15.868938999999999</v>
      </c>
      <c r="K184" s="28">
        <f t="shared" si="106"/>
        <v>0.60407536937636486</v>
      </c>
      <c r="L184" s="28">
        <f t="shared" si="107"/>
        <v>0.27441718822495514</v>
      </c>
      <c r="M184" s="28">
        <f t="shared" si="108"/>
        <v>3.1876858792108109E-2</v>
      </c>
      <c r="N184" s="29">
        <f t="shared" si="109"/>
        <v>2.4357615793937786E-2</v>
      </c>
      <c r="O184" s="29">
        <f t="shared" si="110"/>
        <v>1.8357615793937784E-2</v>
      </c>
      <c r="P184" s="28">
        <f t="shared" si="111"/>
        <v>0.51315405574886275</v>
      </c>
      <c r="Q184" s="28">
        <f t="shared" si="112"/>
        <v>-0.42627493145032436</v>
      </c>
      <c r="R184" s="28">
        <f t="shared" si="113"/>
        <v>-0.56920455400592063</v>
      </c>
      <c r="S184" s="28">
        <f t="shared" si="114"/>
        <v>0.68647492308635671</v>
      </c>
      <c r="T184" s="28">
        <f t="shared" si="115"/>
        <v>-1.3533357085565132</v>
      </c>
      <c r="U184" s="28">
        <f t="shared" si="116"/>
        <v>-9.7656231464235799E-2</v>
      </c>
      <c r="V184" s="28">
        <f t="shared" si="117"/>
        <v>764.39153209017513</v>
      </c>
      <c r="W184" s="28">
        <f t="shared" si="118"/>
        <v>526.33831995600292</v>
      </c>
      <c r="X184" s="28">
        <f t="shared" si="119"/>
        <v>-17.407718958062048</v>
      </c>
      <c r="Y184" s="28">
        <f t="shared" si="120"/>
        <v>159.2394858581971</v>
      </c>
      <c r="Z184" s="28">
        <f t="shared" si="121"/>
        <v>61.406007317913065</v>
      </c>
      <c r="AA184" s="28">
        <f t="shared" si="122"/>
        <v>1184.7483081558084</v>
      </c>
      <c r="AB184" s="32">
        <f t="shared" si="123"/>
        <v>1246.1543154737215</v>
      </c>
      <c r="AC184" s="22">
        <f>INDEX(Data_Cert!$E$4:$E$195,MATCH($A184,Data_Cert!$A$4:$A$195,0))</f>
        <v>1333.97</v>
      </c>
      <c r="AD184" s="22">
        <f t="shared" si="124"/>
        <v>-87.815684526278574</v>
      </c>
      <c r="AE184" s="23">
        <f t="shared" si="125"/>
        <v>-6.5830329412414498E-2</v>
      </c>
      <c r="AF184" s="36">
        <f>Data_Stock!D184</f>
        <v>1253.8599999999999</v>
      </c>
    </row>
    <row r="185" spans="1:32" x14ac:dyDescent="0.2">
      <c r="A185" s="35">
        <f>Data_Stock!A185</f>
        <v>46171</v>
      </c>
      <c r="B185" s="36">
        <f>Data_Stock!B185</f>
        <v>1293.4000000000001</v>
      </c>
      <c r="C185" s="37">
        <f>Data_Stock!C185</f>
        <v>0.48499999999999999</v>
      </c>
      <c r="D185" s="38">
        <f t="shared" si="105"/>
        <v>1.0547945205479452</v>
      </c>
      <c r="E185" s="28">
        <f>INDEX(Data_Svensson!$B$4:$B$202,MATCH($A185,Data_Svensson!$A$4:$A$202,1))</f>
        <v>1.326781</v>
      </c>
      <c r="F185" s="28">
        <f>INDEX(Data_Svensson!$C$4:$C$202,MATCH($A185,Data_Svensson!$A$4:$A$202,1))</f>
        <v>0.72420899999999999</v>
      </c>
      <c r="G185" s="28">
        <f>INDEX(Data_Svensson!$D$4:$D$202,MATCH($A185,Data_Svensson!$A$4:$A$202,1))</f>
        <v>1.5903579999999999</v>
      </c>
      <c r="H185" s="28">
        <f>INDEX(Data_Svensson!$E$4:$E$202,MATCH($A185,Data_Svensson!$A$4:$A$202,1))</f>
        <v>7.0623079999999998</v>
      </c>
      <c r="I185" s="28">
        <f>INDEX(Data_Svensson!$F$4:$F$202,MATCH($A185,Data_Svensson!$A$4:$A$202,1))</f>
        <v>0.93183499999999997</v>
      </c>
      <c r="J185" s="28">
        <f>INDEX(Data_Svensson!$G$4:$G$202,MATCH($A185,Data_Svensson!$A$4:$A$202,1))</f>
        <v>15.947233000000001</v>
      </c>
      <c r="K185" s="28">
        <f t="shared" si="106"/>
        <v>0.5986084994423343</v>
      </c>
      <c r="L185" s="28">
        <f t="shared" si="107"/>
        <v>0.27620589078865859</v>
      </c>
      <c r="M185" s="28">
        <f t="shared" si="108"/>
        <v>3.1648647971838084E-2</v>
      </c>
      <c r="N185" s="29">
        <f t="shared" si="109"/>
        <v>2.4230774105961986E-2</v>
      </c>
      <c r="O185" s="29">
        <f t="shared" si="110"/>
        <v>1.8230774105961987E-2</v>
      </c>
      <c r="P185" s="28">
        <f t="shared" si="111"/>
        <v>0.49811047077519904</v>
      </c>
      <c r="Q185" s="28">
        <f t="shared" si="112"/>
        <v>-0.42249644337990444</v>
      </c>
      <c r="R185" s="28">
        <f t="shared" si="113"/>
        <v>-0.58739184682061196</v>
      </c>
      <c r="S185" s="28">
        <f t="shared" si="114"/>
        <v>0.70621078592010078</v>
      </c>
      <c r="T185" s="28">
        <f t="shared" si="115"/>
        <v>-1.4244922817360379</v>
      </c>
      <c r="U185" s="28">
        <f t="shared" si="116"/>
        <v>-0.13088964899532546</v>
      </c>
      <c r="V185" s="28">
        <f t="shared" si="117"/>
        <v>751.50012082574301</v>
      </c>
      <c r="W185" s="28">
        <f t="shared" si="118"/>
        <v>505.58159660266699</v>
      </c>
      <c r="X185" s="28">
        <f t="shared" si="119"/>
        <v>-14.545307419116888</v>
      </c>
      <c r="Y185" s="28">
        <f t="shared" si="120"/>
        <v>162.89193261805252</v>
      </c>
      <c r="Z185" s="28">
        <f t="shared" si="121"/>
        <v>68.481284185906617</v>
      </c>
      <c r="AA185" s="28">
        <f t="shared" si="122"/>
        <v>1198.0306100942475</v>
      </c>
      <c r="AB185" s="32">
        <f t="shared" si="123"/>
        <v>1266.5118942801541</v>
      </c>
      <c r="AC185" s="22">
        <f>INDEX(Data_Cert!$E$4:$E$195,MATCH($A185,Data_Cert!$A$4:$A$195,0))</f>
        <v>1334.52</v>
      </c>
      <c r="AD185" s="22">
        <f t="shared" si="124"/>
        <v>-68.008105719845844</v>
      </c>
      <c r="AE185" s="23">
        <f t="shared" si="125"/>
        <v>-5.0960724245306059E-2</v>
      </c>
      <c r="AF185" s="36">
        <f>Data_Stock!D185</f>
        <v>1267.25</v>
      </c>
    </row>
    <row r="186" spans="1:32" x14ac:dyDescent="0.2">
      <c r="A186" s="35">
        <f>Data_Stock!A186</f>
        <v>46174</v>
      </c>
      <c r="B186" s="36">
        <f>Data_Stock!B186</f>
        <v>1207</v>
      </c>
      <c r="C186" s="37">
        <f>Data_Stock!C186</f>
        <v>0.54200000000000004</v>
      </c>
      <c r="D186" s="38">
        <f t="shared" si="105"/>
        <v>1.0465753424657533</v>
      </c>
      <c r="E186" s="28">
        <f>INDEX(Data_Svensson!$B$4:$B$202,MATCH($A186,Data_Svensson!$A$4:$A$202,1))</f>
        <v>1.330382</v>
      </c>
      <c r="F186" s="28">
        <f>INDEX(Data_Svensson!$C$4:$C$202,MATCH($A186,Data_Svensson!$A$4:$A$202,1))</f>
        <v>0.70005200000000001</v>
      </c>
      <c r="G186" s="28">
        <f>INDEX(Data_Svensson!$D$4:$D$202,MATCH($A186,Data_Svensson!$A$4:$A$202,1))</f>
        <v>1.8167549999999999</v>
      </c>
      <c r="H186" s="28">
        <f>INDEX(Data_Svensson!$E$4:$E$202,MATCH($A186,Data_Svensson!$A$4:$A$202,1))</f>
        <v>7.1301839999999999</v>
      </c>
      <c r="I186" s="28">
        <f>INDEX(Data_Svensson!$F$4:$F$202,MATCH($A186,Data_Svensson!$A$4:$A$202,1))</f>
        <v>0.96676300000000004</v>
      </c>
      <c r="J186" s="28">
        <f>INDEX(Data_Svensson!$G$4:$G$202,MATCH($A186,Data_Svensson!$A$4:$A$202,1))</f>
        <v>15.839369</v>
      </c>
      <c r="K186" s="28">
        <f t="shared" si="106"/>
        <v>0.61084257999422653</v>
      </c>
      <c r="L186" s="28">
        <f t="shared" si="107"/>
        <v>0.27211404192452582</v>
      </c>
      <c r="M186" s="28">
        <f t="shared" si="108"/>
        <v>3.1617314332297308E-2</v>
      </c>
      <c r="N186" s="29">
        <f t="shared" si="109"/>
        <v>2.4778053848218268E-2</v>
      </c>
      <c r="O186" s="29">
        <f t="shared" si="110"/>
        <v>1.8778053848218269E-2</v>
      </c>
      <c r="P186" s="28">
        <f t="shared" si="111"/>
        <v>0.5544782763139684</v>
      </c>
      <c r="Q186" s="28">
        <f t="shared" si="112"/>
        <v>-0.43607775681084726</v>
      </c>
      <c r="R186" s="28">
        <f t="shared" si="113"/>
        <v>-0.59810009701384981</v>
      </c>
      <c r="S186" s="28">
        <f t="shared" si="114"/>
        <v>0.56399595600744457</v>
      </c>
      <c r="T186" s="28">
        <f t="shared" si="115"/>
        <v>-1.100726742271483</v>
      </c>
      <c r="U186" s="28">
        <f t="shared" si="116"/>
        <v>6.1369310749811279E-2</v>
      </c>
      <c r="V186" s="28">
        <f t="shared" si="117"/>
        <v>836.36196510360912</v>
      </c>
      <c r="W186" s="28">
        <f t="shared" si="118"/>
        <v>623.50671557825422</v>
      </c>
      <c r="X186" s="28">
        <f t="shared" si="119"/>
        <v>-31.193440079925182</v>
      </c>
      <c r="Y186" s="28">
        <f t="shared" si="120"/>
        <v>146.74713942905464</v>
      </c>
      <c r="Z186" s="28">
        <f t="shared" si="121"/>
        <v>34.914670016375084</v>
      </c>
      <c r="AA186" s="28">
        <f t="shared" si="122"/>
        <v>1112.4405329373981</v>
      </c>
      <c r="AB186" s="32">
        <f t="shared" si="123"/>
        <v>1147.3552029537732</v>
      </c>
      <c r="AC186" s="22">
        <f>INDEX(Data_Cert!$E$4:$E$195,MATCH($A186,Data_Cert!$A$4:$A$195,0))</f>
        <v>1236.07</v>
      </c>
      <c r="AD186" s="22">
        <f t="shared" si="124"/>
        <v>-88.714797046226749</v>
      </c>
      <c r="AE186" s="23">
        <f t="shared" si="125"/>
        <v>-7.1771661027471539E-2</v>
      </c>
      <c r="AF186" s="36">
        <f>Data_Stock!D186</f>
        <v>1153.79</v>
      </c>
    </row>
    <row r="188" spans="1:32" x14ac:dyDescent="0.2">
      <c r="AA188" s="4" t="s">
        <v>218</v>
      </c>
      <c r="AB188" s="32">
        <f>AVERAGE(AD4:AD186)</f>
        <v>-94.293549302363701</v>
      </c>
    </row>
    <row r="189" spans="1:32" x14ac:dyDescent="0.2">
      <c r="AA189" s="4" t="s">
        <v>219</v>
      </c>
      <c r="AB189" s="32">
        <f>SUMPRODUCT(ABS(AD4:AD186))/COUNT(AD4:AD186)</f>
        <v>101.88207718558652</v>
      </c>
    </row>
    <row r="190" spans="1:32" x14ac:dyDescent="0.2">
      <c r="AA190" s="4" t="s">
        <v>220</v>
      </c>
      <c r="AB190" s="32">
        <f>SQRT(SUMSQ(AD4:AD186)/COUNT(AD4:AD186))</f>
        <v>116.44495639922009</v>
      </c>
    </row>
    <row r="191" spans="1:32" x14ac:dyDescent="0.2">
      <c r="AA191" s="4" t="s">
        <v>221</v>
      </c>
      <c r="AB191" s="39">
        <f>COUNT(AD4:AD186)</f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  <col min="2" max="9" width="12" customWidth="1"/>
  </cols>
  <sheetData>
    <row r="1" spans="1:9" ht="18" x14ac:dyDescent="0.2">
      <c r="A1" s="2" t="s">
        <v>222</v>
      </c>
    </row>
    <row r="2" spans="1:9" x14ac:dyDescent="0.2">
      <c r="A2" s="9" t="s">
        <v>223</v>
      </c>
    </row>
    <row r="4" spans="1:9" x14ac:dyDescent="0.2">
      <c r="A4" s="4" t="s">
        <v>224</v>
      </c>
    </row>
    <row r="5" spans="1:9" x14ac:dyDescent="0.2">
      <c r="A5" s="27" t="s">
        <v>225</v>
      </c>
      <c r="B5" s="12">
        <f>Data_Stock!B4</f>
        <v>1707.93</v>
      </c>
    </row>
    <row r="6" spans="1:9" x14ac:dyDescent="0.2">
      <c r="A6" s="27" t="s">
        <v>226</v>
      </c>
      <c r="B6" s="18">
        <f>MEDIAN(Data_Stock!C4:C186)</f>
        <v>0.44600000000000001</v>
      </c>
    </row>
    <row r="7" spans="1:9" x14ac:dyDescent="0.2">
      <c r="A7" s="27" t="s">
        <v>227</v>
      </c>
      <c r="B7" s="40">
        <f>MAX((MaturityDate-Data_Stock!A4)/365,1/365)</f>
        <v>1.7863013698630137</v>
      </c>
    </row>
    <row r="8" spans="1:9" x14ac:dyDescent="0.2">
      <c r="A8" s="27" t="s">
        <v>228</v>
      </c>
      <c r="B8" s="13">
        <f>(INDEX(Data_Svensson!$B$4:$B$202,MATCH(Data_Stock!A4,Data_Svensson!$A$4:$A$202,1))+INDEX(Data_Svensson!$C$4:$C$202,MATCH(Data_Stock!A4,Data_Svensson!$A$4:$A$202,1))*((1-EXP(-B7/INDEX(Data_Svensson!$F$4:$F$202,MATCH(Data_Stock!A4,Data_Svensson!$A$4:$A$202,1))))/(B7/INDEX(Data_Svensson!$F$4:$F$202,MATCH(Data_Stock!A4,Data_Svensson!$A$4:$A$202,1))))+INDEX(Data_Svensson!$D$4:$D$202,MATCH(Data_Stock!A4,Data_Svensson!$A$4:$A$202,1))*((1-EXP(-B7/INDEX(Data_Svensson!$F$4:$F$202,MATCH(Data_Stock!A4,Data_Svensson!$A$4:$A$202,1))))/(B7/INDEX(Data_Svensson!$F$4:$F$202,MATCH(Data_Stock!A4,Data_Svensson!$A$4:$A$202,1)))-EXP(-B7/INDEX(Data_Svensson!$F$4:$F$202,MATCH(Data_Stock!A4,Data_Svensson!$A$4:$A$202,1))))+INDEX(Data_Svensson!$E$4:$E$202,MATCH(Data_Stock!A4,Data_Svensson!$A$4:$A$202,1))*((1-EXP(-B7/INDEX(Data_Svensson!$G$4:$G$202,MATCH(Data_Stock!A4,Data_Svensson!$A$4:$A$202,1))))/(B7/INDEX(Data_Svensson!$G$4:$G$202,MATCH(Data_Stock!A4,Data_Svensson!$A$4:$A$202,1)))-EXP(-B7/INDEX(Data_Svensson!$G$4:$G$202,MATCH(Data_Stock!A4,Data_Svensson!$A$4:$A$202,1)))))/100</f>
        <v>1.9161407342565429E-2</v>
      </c>
    </row>
    <row r="10" spans="1:9" x14ac:dyDescent="0.2">
      <c r="A10" s="41" t="s">
        <v>229</v>
      </c>
      <c r="B10" s="42" t="s">
        <v>230</v>
      </c>
      <c r="C10" s="42" t="s">
        <v>231</v>
      </c>
      <c r="D10" s="42" t="s">
        <v>232</v>
      </c>
      <c r="E10" s="42" t="s">
        <v>233</v>
      </c>
      <c r="F10" s="42" t="s">
        <v>234</v>
      </c>
      <c r="G10" s="42" t="s">
        <v>235</v>
      </c>
      <c r="H10" s="42" t="s">
        <v>236</v>
      </c>
      <c r="I10" s="42" t="s">
        <v>237</v>
      </c>
    </row>
    <row r="11" spans="1:9" x14ac:dyDescent="0.2">
      <c r="A11" s="27" t="s">
        <v>238</v>
      </c>
      <c r="B11" s="24">
        <f>$B$5</f>
        <v>1707.93</v>
      </c>
      <c r="C11" s="26">
        <f>$B$5*(1+dS)</f>
        <v>1725.0093000000002</v>
      </c>
      <c r="D11" s="26">
        <f>$B$5*(1-dS)</f>
        <v>1690.8507</v>
      </c>
      <c r="E11" s="22">
        <f>$B$5</f>
        <v>1707.93</v>
      </c>
      <c r="F11" s="22">
        <f>$B$5</f>
        <v>1707.93</v>
      </c>
      <c r="G11" s="22">
        <f>$B$5</f>
        <v>1707.93</v>
      </c>
      <c r="H11" s="22">
        <f>$B$5</f>
        <v>1707.93</v>
      </c>
      <c r="I11" s="22">
        <f>$B$5</f>
        <v>1707.93</v>
      </c>
    </row>
    <row r="12" spans="1:9" x14ac:dyDescent="0.2">
      <c r="A12" s="27" t="s">
        <v>194</v>
      </c>
      <c r="B12" s="24">
        <f>$B$6</f>
        <v>0.44600000000000001</v>
      </c>
      <c r="C12" s="23">
        <f>$B$6</f>
        <v>0.44600000000000001</v>
      </c>
      <c r="D12" s="23">
        <f>$B$6</f>
        <v>0.44600000000000001</v>
      </c>
      <c r="E12" s="29">
        <f>$B$6+dSig</f>
        <v>0.46600000000000003</v>
      </c>
      <c r="F12" s="29">
        <f>$B$6-dSig</f>
        <v>0.42599999999999999</v>
      </c>
      <c r="G12" s="23">
        <f>$B$6</f>
        <v>0.44600000000000001</v>
      </c>
      <c r="H12" s="23">
        <f>$B$6</f>
        <v>0.44600000000000001</v>
      </c>
      <c r="I12" s="23">
        <f>$B$6</f>
        <v>0.44600000000000001</v>
      </c>
    </row>
    <row r="13" spans="1:9" x14ac:dyDescent="0.2">
      <c r="A13" s="27" t="s">
        <v>239</v>
      </c>
      <c r="B13" s="24">
        <f>$B$7</f>
        <v>1.7863013698630137</v>
      </c>
      <c r="C13" s="38">
        <f>$B$7</f>
        <v>1.7863013698630137</v>
      </c>
      <c r="D13" s="38">
        <f>$B$7</f>
        <v>1.7863013698630137</v>
      </c>
      <c r="E13" s="38">
        <f>$B$7</f>
        <v>1.7863013698630137</v>
      </c>
      <c r="F13" s="38">
        <f>$B$7</f>
        <v>1.7863013698630137</v>
      </c>
      <c r="G13" s="26">
        <f>MAX($B$7-dT,1/365)</f>
        <v>1.7823331158947597</v>
      </c>
      <c r="H13" s="38">
        <f>$B$7</f>
        <v>1.7863013698630137</v>
      </c>
      <c r="I13" s="38">
        <f>$B$7</f>
        <v>1.7863013698630137</v>
      </c>
    </row>
    <row r="14" spans="1:9" x14ac:dyDescent="0.2">
      <c r="A14" s="27" t="s">
        <v>240</v>
      </c>
      <c r="B14" s="24">
        <f t="shared" ref="B14:G14" si="0">$B$8</f>
        <v>1.9161407342565429E-2</v>
      </c>
      <c r="C14" s="29">
        <f t="shared" si="0"/>
        <v>1.9161407342565429E-2</v>
      </c>
      <c r="D14" s="29">
        <f t="shared" si="0"/>
        <v>1.9161407342565429E-2</v>
      </c>
      <c r="E14" s="29">
        <f t="shared" si="0"/>
        <v>1.9161407342565429E-2</v>
      </c>
      <c r="F14" s="29">
        <f t="shared" si="0"/>
        <v>1.9161407342565429E-2</v>
      </c>
      <c r="G14" s="29">
        <f t="shared" si="0"/>
        <v>1.9161407342565429E-2</v>
      </c>
      <c r="H14" s="29">
        <f>$B$8+dR</f>
        <v>1.9261407342565429E-2</v>
      </c>
      <c r="I14" s="29">
        <f>$B$8-dR</f>
        <v>1.906140734256543E-2</v>
      </c>
    </row>
    <row r="15" spans="1:9" x14ac:dyDescent="0.2">
      <c r="A15" s="27" t="s">
        <v>200</v>
      </c>
      <c r="B15" s="24">
        <f t="shared" ref="B15:I15" si="1">B14-q</f>
        <v>1.3161407342565429E-2</v>
      </c>
      <c r="C15" s="29">
        <f t="shared" si="1"/>
        <v>1.3161407342565429E-2</v>
      </c>
      <c r="D15" s="29">
        <f t="shared" si="1"/>
        <v>1.3161407342565429E-2</v>
      </c>
      <c r="E15" s="29">
        <f t="shared" si="1"/>
        <v>1.3161407342565429E-2</v>
      </c>
      <c r="F15" s="29">
        <f t="shared" si="1"/>
        <v>1.3161407342565429E-2</v>
      </c>
      <c r="G15" s="29">
        <f t="shared" si="1"/>
        <v>1.3161407342565429E-2</v>
      </c>
      <c r="H15" s="29">
        <f t="shared" si="1"/>
        <v>1.3261407342565429E-2</v>
      </c>
      <c r="I15" s="29">
        <f t="shared" si="1"/>
        <v>1.306140734256543E-2</v>
      </c>
    </row>
    <row r="16" spans="1:9" x14ac:dyDescent="0.2">
      <c r="A16" s="27" t="s">
        <v>201</v>
      </c>
      <c r="B16" s="24">
        <f t="shared" ref="B16:I16" si="2">B12*SQRT(B13)</f>
        <v>0.59609053279486934</v>
      </c>
      <c r="C16" s="26">
        <f t="shared" si="2"/>
        <v>0.59609053279486934</v>
      </c>
      <c r="D16" s="26">
        <f t="shared" si="2"/>
        <v>0.59609053279486934</v>
      </c>
      <c r="E16" s="26">
        <f t="shared" si="2"/>
        <v>0.62282104996055854</v>
      </c>
      <c r="F16" s="26">
        <f t="shared" si="2"/>
        <v>0.56936001562918015</v>
      </c>
      <c r="G16" s="26">
        <f t="shared" si="2"/>
        <v>0.59542805953475353</v>
      </c>
      <c r="H16" s="26">
        <f t="shared" si="2"/>
        <v>0.59609053279486934</v>
      </c>
      <c r="I16" s="26">
        <f t="shared" si="2"/>
        <v>0.59609053279486934</v>
      </c>
    </row>
    <row r="17" spans="1:9" x14ac:dyDescent="0.2">
      <c r="A17" s="27" t="s">
        <v>202</v>
      </c>
      <c r="B17" s="24">
        <f t="shared" ref="B17:I17" si="3">(B15-0.5*B12^2)/B12^2</f>
        <v>-0.43383434543945465</v>
      </c>
      <c r="C17" s="26">
        <f t="shared" si="3"/>
        <v>-0.43383434543945465</v>
      </c>
      <c r="D17" s="26">
        <f t="shared" si="3"/>
        <v>-0.43383434543945465</v>
      </c>
      <c r="E17" s="26">
        <f t="shared" si="3"/>
        <v>-0.43939192404278293</v>
      </c>
      <c r="F17" s="26">
        <f t="shared" si="3"/>
        <v>-0.42747576901317291</v>
      </c>
      <c r="G17" s="26">
        <f t="shared" si="3"/>
        <v>-0.43383434543945465</v>
      </c>
      <c r="H17" s="26">
        <f t="shared" si="3"/>
        <v>-0.43333162067121084</v>
      </c>
      <c r="I17" s="26">
        <f t="shared" si="3"/>
        <v>-0.43433707020769857</v>
      </c>
    </row>
    <row r="18" spans="1:9" x14ac:dyDescent="0.2">
      <c r="A18" s="27" t="s">
        <v>203</v>
      </c>
      <c r="B18" s="24">
        <f t="shared" ref="B18:I18" si="4">LN(B11/Cap)/B16+(1+B17)*B16</f>
        <v>7.2651937225302499E-2</v>
      </c>
      <c r="C18" s="26">
        <f t="shared" si="4"/>
        <v>8.9344587595900193E-2</v>
      </c>
      <c r="D18" s="26">
        <f t="shared" si="4"/>
        <v>5.5791518714075783E-2</v>
      </c>
      <c r="E18" s="26">
        <f t="shared" si="4"/>
        <v>9.5690729249011119E-2</v>
      </c>
      <c r="F18" s="26">
        <f t="shared" si="4"/>
        <v>4.8704832202451642E-2</v>
      </c>
      <c r="G18" s="26">
        <f t="shared" si="4"/>
        <v>7.1982213254460803E-2</v>
      </c>
      <c r="H18" s="26">
        <f t="shared" si="4"/>
        <v>7.295160670025419E-2</v>
      </c>
      <c r="I18" s="26">
        <f t="shared" si="4"/>
        <v>7.2352267750350863E-2</v>
      </c>
    </row>
    <row r="19" spans="1:9" x14ac:dyDescent="0.2">
      <c r="A19" s="27" t="s">
        <v>204</v>
      </c>
      <c r="B19" s="24">
        <f t="shared" ref="B19:I19" si="5">LN(B11/Barrier)/B16+(1+B17)*B16</f>
        <v>1.1536236704439773</v>
      </c>
      <c r="C19" s="26">
        <f t="shared" si="5"/>
        <v>1.170316320814575</v>
      </c>
      <c r="D19" s="26">
        <f t="shared" si="5"/>
        <v>1.1367632519327506</v>
      </c>
      <c r="E19" s="26">
        <f t="shared" si="5"/>
        <v>1.1302688258488587</v>
      </c>
      <c r="F19" s="26">
        <f t="shared" si="5"/>
        <v>1.1804264120511112</v>
      </c>
      <c r="G19" s="26">
        <f t="shared" si="5"/>
        <v>1.1541566356254707</v>
      </c>
      <c r="H19" s="26">
        <f t="shared" si="5"/>
        <v>1.1539233399189288</v>
      </c>
      <c r="I19" s="26">
        <f t="shared" si="5"/>
        <v>1.1533240009690255</v>
      </c>
    </row>
    <row r="20" spans="1:9" x14ac:dyDescent="0.2">
      <c r="A20" s="27" t="s">
        <v>205</v>
      </c>
      <c r="B20" s="24">
        <f t="shared" ref="B20:I20" si="6">LN(Barrier^2/(B11*Cap))/B16+(1+B17)*B16</f>
        <v>-1.5596234303083492</v>
      </c>
      <c r="C20" s="26">
        <f t="shared" si="6"/>
        <v>-1.5763160806789474</v>
      </c>
      <c r="D20" s="26">
        <f t="shared" si="6"/>
        <v>-1.5427630117971229</v>
      </c>
      <c r="E20" s="26">
        <f t="shared" si="6"/>
        <v>-1.4665299014806212</v>
      </c>
      <c r="F20" s="26">
        <f t="shared" si="6"/>
        <v>-1.6602031816942822</v>
      </c>
      <c r="G20" s="26">
        <f t="shared" si="6"/>
        <v>-1.5621092238560623</v>
      </c>
      <c r="H20" s="26">
        <f t="shared" si="6"/>
        <v>-1.5593237608333974</v>
      </c>
      <c r="I20" s="26">
        <f t="shared" si="6"/>
        <v>-1.5599230997833007</v>
      </c>
    </row>
    <row r="21" spans="1:9" x14ac:dyDescent="0.2">
      <c r="A21" s="27" t="s">
        <v>206</v>
      </c>
      <c r="B21" s="24">
        <f t="shared" ref="B21:I21" si="7">LN(Barrier/B11)/B16+(1+B17)*B16</f>
        <v>-0.47865169708967453</v>
      </c>
      <c r="C21" s="26">
        <f t="shared" si="7"/>
        <v>-0.4953443474602725</v>
      </c>
      <c r="D21" s="26">
        <f t="shared" si="7"/>
        <v>-0.46179127857844776</v>
      </c>
      <c r="E21" s="26">
        <f t="shared" si="7"/>
        <v>-0.43195180488077373</v>
      </c>
      <c r="F21" s="26">
        <f t="shared" si="7"/>
        <v>-0.52848160184562287</v>
      </c>
      <c r="G21" s="26">
        <f t="shared" si="7"/>
        <v>-0.47993480148505269</v>
      </c>
      <c r="H21" s="26">
        <f t="shared" si="7"/>
        <v>-0.47835202761472284</v>
      </c>
      <c r="I21" s="26">
        <f t="shared" si="7"/>
        <v>-0.47895136656462617</v>
      </c>
    </row>
    <row r="22" spans="1:9" x14ac:dyDescent="0.2">
      <c r="A22" s="27" t="s">
        <v>241</v>
      </c>
      <c r="B22" s="24">
        <f t="shared" ref="B22:I22" si="8">-B11*EXP((B15-B14)*B13)*NORMSDIST(-B18)+Cap*EXP(-B14*B13)*NORMSDIST(-B18+B16)</f>
        <v>556.31549592259933</v>
      </c>
      <c r="C22" s="26">
        <f t="shared" si="8"/>
        <v>548.41238444689748</v>
      </c>
      <c r="D22" s="26">
        <f t="shared" si="8"/>
        <v>564.33139607041005</v>
      </c>
      <c r="E22" s="26">
        <f t="shared" si="8"/>
        <v>574.27036488308113</v>
      </c>
      <c r="F22" s="26">
        <f t="shared" si="8"/>
        <v>538.33006568199676</v>
      </c>
      <c r="G22" s="26">
        <f t="shared" si="8"/>
        <v>555.95395136952743</v>
      </c>
      <c r="H22" s="26">
        <f t="shared" si="8"/>
        <v>556.07398378151652</v>
      </c>
      <c r="I22" s="26">
        <f t="shared" si="8"/>
        <v>556.55708720165524</v>
      </c>
    </row>
    <row r="23" spans="1:9" x14ac:dyDescent="0.2">
      <c r="A23" s="27" t="s">
        <v>208</v>
      </c>
      <c r="B23" s="24">
        <f t="shared" ref="B23:I23" si="9">-B11*EXP((B15-B14)*B13)*NORMSDIST(-B19)+Cap*EXP(-B14*B13)*NORMSDIST(-B19+B16)</f>
        <v>347.6637794643749</v>
      </c>
      <c r="C23" s="26">
        <f t="shared" si="9"/>
        <v>340.38276228967345</v>
      </c>
      <c r="D23" s="26">
        <f t="shared" si="9"/>
        <v>355.10472393668533</v>
      </c>
      <c r="E23" s="26">
        <f t="shared" si="9"/>
        <v>372.97205216521843</v>
      </c>
      <c r="F23" s="26">
        <f t="shared" si="9"/>
        <v>322.01242791851507</v>
      </c>
      <c r="G23" s="26">
        <f t="shared" si="9"/>
        <v>347.09697718082634</v>
      </c>
      <c r="H23" s="26">
        <f t="shared" si="9"/>
        <v>347.47023930368363</v>
      </c>
      <c r="I23" s="26">
        <f t="shared" si="9"/>
        <v>347.85740523456911</v>
      </c>
    </row>
    <row r="24" spans="1:9" x14ac:dyDescent="0.2">
      <c r="A24" s="27" t="s">
        <v>209</v>
      </c>
      <c r="B24" s="24">
        <f t="shared" ref="B24:I24" si="10">-B11*EXP((B15-B14)*B13)*(Barrier/B11)^(2*(B17+1))*NORMSDIST(B20)+Cap*EXP(-B14*B13)*(Barrier/B11)^(2*B17)*NORMSDIST(B20-B16)</f>
        <v>-12.035680026940042</v>
      </c>
      <c r="C24" s="26">
        <f t="shared" si="10"/>
        <v>-11.571486480303378</v>
      </c>
      <c r="D24" s="26">
        <f t="shared" si="10"/>
        <v>-12.520590356365361</v>
      </c>
      <c r="E24" s="26">
        <f t="shared" si="10"/>
        <v>-15.42974849874885</v>
      </c>
      <c r="F24" s="26">
        <f t="shared" si="10"/>
        <v>-9.1316445144438276</v>
      </c>
      <c r="G24" s="26">
        <f t="shared" si="10"/>
        <v>-11.957434842191667</v>
      </c>
      <c r="H24" s="26">
        <f t="shared" si="10"/>
        <v>-12.037982109081071</v>
      </c>
      <c r="I24" s="26">
        <f t="shared" si="10"/>
        <v>-12.033377514305172</v>
      </c>
    </row>
    <row r="25" spans="1:9" x14ac:dyDescent="0.2">
      <c r="A25" s="27" t="s">
        <v>210</v>
      </c>
      <c r="B25" s="24">
        <f t="shared" ref="B25:I25" si="11">-B11*EXP((B15-B14)*B13)*(Barrier/B11)^(2*(B17+1))*NORMSDIST(B21)+Cap*EXP(-B14*B13)*(Barrier/B11)^(2*B17)*NORMSDIST(B21-B16)</f>
        <v>108.46478020466549</v>
      </c>
      <c r="C25" s="26">
        <f t="shared" si="11"/>
        <v>107.219727338219</v>
      </c>
      <c r="D25" s="26">
        <f t="shared" si="11"/>
        <v>109.69845067005741</v>
      </c>
      <c r="E25" s="26">
        <f t="shared" si="11"/>
        <v>105.99979957897017</v>
      </c>
      <c r="F25" s="26">
        <f t="shared" si="11"/>
        <v>109.78181288431858</v>
      </c>
      <c r="G25" s="26">
        <f t="shared" si="11"/>
        <v>108.52407009131571</v>
      </c>
      <c r="H25" s="26">
        <f t="shared" si="11"/>
        <v>108.4313049968469</v>
      </c>
      <c r="I25" s="26">
        <f t="shared" si="11"/>
        <v>108.49825363779206</v>
      </c>
    </row>
    <row r="26" spans="1:9" x14ac:dyDescent="0.2">
      <c r="A26" s="27" t="s">
        <v>211</v>
      </c>
      <c r="B26" s="24">
        <f t="shared" ref="B26:I26" si="12">IF(B11&lt;=Barrier,0,B22-B23+B24-B25)</f>
        <v>88.151256226618898</v>
      </c>
      <c r="C26" s="26">
        <f t="shared" si="12"/>
        <v>89.238408338701646</v>
      </c>
      <c r="D26" s="26">
        <f t="shared" si="12"/>
        <v>87.007631107301961</v>
      </c>
      <c r="E26" s="26">
        <f t="shared" si="12"/>
        <v>79.868764640143695</v>
      </c>
      <c r="F26" s="26">
        <f t="shared" si="12"/>
        <v>97.404180364719281</v>
      </c>
      <c r="G26" s="26">
        <f t="shared" si="12"/>
        <v>88.375469255193707</v>
      </c>
      <c r="H26" s="26">
        <f t="shared" si="12"/>
        <v>88.134457371904915</v>
      </c>
      <c r="I26" s="26">
        <f t="shared" si="12"/>
        <v>88.168050814988874</v>
      </c>
    </row>
    <row r="27" spans="1:9" x14ac:dyDescent="0.2">
      <c r="A27" s="27" t="s">
        <v>212</v>
      </c>
      <c r="B27" s="24">
        <f t="shared" ref="B27:I27" si="13">Cap*EXP(-B14*B13)-B22</f>
        <v>1376.3867138623882</v>
      </c>
      <c r="C27" s="26">
        <f t="shared" si="13"/>
        <v>1384.2898253380899</v>
      </c>
      <c r="D27" s="26">
        <f t="shared" si="13"/>
        <v>1368.3708137145773</v>
      </c>
      <c r="E27" s="26">
        <f t="shared" si="13"/>
        <v>1358.4318449019063</v>
      </c>
      <c r="F27" s="26">
        <f t="shared" si="13"/>
        <v>1394.3721441029907</v>
      </c>
      <c r="G27" s="26">
        <f t="shared" si="13"/>
        <v>1376.8952215198476</v>
      </c>
      <c r="H27" s="26">
        <f t="shared" si="13"/>
        <v>1376.28301797618</v>
      </c>
      <c r="I27" s="26">
        <f t="shared" si="13"/>
        <v>1376.4903922806884</v>
      </c>
    </row>
    <row r="28" spans="1:9" x14ac:dyDescent="0.2">
      <c r="A28" s="27" t="s">
        <v>242</v>
      </c>
      <c r="B28" s="22">
        <f t="shared" ref="B28:I28" si="14">B27+B26</f>
        <v>1464.5379700890071</v>
      </c>
      <c r="C28" s="26">
        <f t="shared" si="14"/>
        <v>1473.5282336767916</v>
      </c>
      <c r="D28" s="26">
        <f t="shared" si="14"/>
        <v>1455.3784448218792</v>
      </c>
      <c r="E28" s="26">
        <f t="shared" si="14"/>
        <v>1438.3006095420501</v>
      </c>
      <c r="F28" s="26">
        <f t="shared" si="14"/>
        <v>1491.7763244677099</v>
      </c>
      <c r="G28" s="26">
        <f t="shared" si="14"/>
        <v>1465.2706907750412</v>
      </c>
      <c r="H28" s="26">
        <f t="shared" si="14"/>
        <v>1464.417475348085</v>
      </c>
      <c r="I28" s="26">
        <f t="shared" si="14"/>
        <v>1464.6584430956773</v>
      </c>
    </row>
    <row r="31" spans="1:9" x14ac:dyDescent="0.2">
      <c r="A31" s="4" t="s">
        <v>243</v>
      </c>
    </row>
    <row r="32" spans="1:9" x14ac:dyDescent="0.2">
      <c r="A32" s="4" t="s">
        <v>244</v>
      </c>
      <c r="B32" s="32">
        <f>B28</f>
        <v>1464.5379700890071</v>
      </c>
    </row>
    <row r="33" spans="1:2" x14ac:dyDescent="0.2">
      <c r="A33" s="4" t="s">
        <v>245</v>
      </c>
      <c r="B33" s="43">
        <f>(C28-D28)/(2*dS*$B$5)</f>
        <v>0.53133878012894142</v>
      </c>
    </row>
    <row r="34" spans="1:2" x14ac:dyDescent="0.2">
      <c r="A34" s="4" t="s">
        <v>246</v>
      </c>
      <c r="B34" s="44">
        <f>(C28-2*B28+D28)/(dS*$B$5)^2</f>
        <v>-5.8025449223837505E-4</v>
      </c>
    </row>
    <row r="35" spans="1:2" x14ac:dyDescent="0.2">
      <c r="A35" s="4" t="s">
        <v>247</v>
      </c>
      <c r="B35" s="43">
        <f>(E28-F28)/(2*dSig)/100</f>
        <v>-13.36892873141494</v>
      </c>
    </row>
    <row r="36" spans="1:2" x14ac:dyDescent="0.2">
      <c r="A36" s="4" t="s">
        <v>248</v>
      </c>
      <c r="B36" s="43">
        <f>(G28-B28)/dT/365</f>
        <v>0.50587839145367952</v>
      </c>
    </row>
    <row r="37" spans="1:2" x14ac:dyDescent="0.2">
      <c r="A37" s="4" t="s">
        <v>249</v>
      </c>
      <c r="B37" s="43">
        <f>(H28-I28)/(2*dR)*0.01</f>
        <v>-12.048387379616088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86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11" customWidth="1"/>
    <col min="2" max="33" width="9" customWidth="1"/>
  </cols>
  <sheetData>
    <row r="1" spans="1:33" ht="18" x14ac:dyDescent="0.2">
      <c r="A1" s="2" t="s">
        <v>250</v>
      </c>
    </row>
    <row r="2" spans="1:33" x14ac:dyDescent="0.2">
      <c r="A2" s="9" t="s">
        <v>251</v>
      </c>
    </row>
    <row r="3" spans="1:33" ht="27" x14ac:dyDescent="0.2">
      <c r="A3" s="6" t="s">
        <v>127</v>
      </c>
      <c r="B3" s="6" t="s">
        <v>238</v>
      </c>
      <c r="C3" s="6" t="s">
        <v>240</v>
      </c>
      <c r="D3" s="6" t="s">
        <v>194</v>
      </c>
      <c r="E3" s="6" t="s">
        <v>239</v>
      </c>
      <c r="F3" s="6" t="s">
        <v>252</v>
      </c>
      <c r="G3" s="6" t="s">
        <v>201</v>
      </c>
      <c r="H3" s="6" t="s">
        <v>202</v>
      </c>
      <c r="I3" s="6" t="s">
        <v>244</v>
      </c>
      <c r="J3" s="6" t="s">
        <v>231</v>
      </c>
      <c r="K3" s="6" t="s">
        <v>253</v>
      </c>
      <c r="L3" s="6" t="s">
        <v>254</v>
      </c>
      <c r="M3" s="6" t="s">
        <v>255</v>
      </c>
      <c r="N3" s="6" t="s">
        <v>256</v>
      </c>
      <c r="O3" s="6" t="s">
        <v>257</v>
      </c>
      <c r="P3" s="6" t="s">
        <v>258</v>
      </c>
      <c r="Q3" s="6" t="s">
        <v>259</v>
      </c>
      <c r="R3" s="6" t="s">
        <v>260</v>
      </c>
      <c r="S3" s="6" t="s">
        <v>261</v>
      </c>
      <c r="T3" s="6" t="s">
        <v>232</v>
      </c>
      <c r="U3" s="6" t="s">
        <v>262</v>
      </c>
      <c r="V3" s="6" t="s">
        <v>263</v>
      </c>
      <c r="W3" s="6" t="s">
        <v>264</v>
      </c>
      <c r="X3" s="6" t="s">
        <v>265</v>
      </c>
      <c r="Y3" s="6" t="s">
        <v>266</v>
      </c>
      <c r="Z3" s="6" t="s">
        <v>267</v>
      </c>
      <c r="AA3" s="6" t="s">
        <v>268</v>
      </c>
      <c r="AB3" s="6" t="s">
        <v>269</v>
      </c>
      <c r="AC3" s="6" t="s">
        <v>270</v>
      </c>
      <c r="AD3" s="6" t="s">
        <v>245</v>
      </c>
      <c r="AE3" s="6" t="s">
        <v>271</v>
      </c>
      <c r="AF3" s="6" t="s">
        <v>272</v>
      </c>
      <c r="AG3" s="6" t="s">
        <v>273</v>
      </c>
    </row>
    <row r="4" spans="1:33" x14ac:dyDescent="0.2">
      <c r="A4" s="35">
        <f>P2_TaskV_Valuation!A4</f>
        <v>45904</v>
      </c>
      <c r="B4" s="36">
        <f>P2_TaskV_Valuation!B4</f>
        <v>1707.93</v>
      </c>
      <c r="C4" s="45">
        <f>P2_TaskV_Valuation!N4</f>
        <v>1.9161407342565429E-2</v>
      </c>
      <c r="D4" s="37">
        <f>P2_TaskV_Valuation!C4</f>
        <v>0.39</v>
      </c>
      <c r="E4" s="46">
        <f>P2_TaskV_Valuation!D4</f>
        <v>1.7863013698630137</v>
      </c>
      <c r="F4" s="47">
        <f>P2_TaskV_Valuation!O4</f>
        <v>1.3161407342565429E-2</v>
      </c>
      <c r="G4" s="47">
        <f>P2_TaskV_Valuation!P4</f>
        <v>0.52124508473093956</v>
      </c>
      <c r="H4" s="47">
        <f>P2_TaskV_Valuation!Q4</f>
        <v>-0.41346872227110171</v>
      </c>
      <c r="I4" s="36">
        <f>P2_TaskV_Valuation!AB4</f>
        <v>1543.6152932474631</v>
      </c>
      <c r="J4" s="22">
        <f t="shared" ref="J4:J35" si="0">B4*(1+dS)</f>
        <v>1725.0093000000002</v>
      </c>
      <c r="K4" s="28">
        <f t="shared" ref="K4:K35" si="1">LN(J4/Cap)/G4+(1+H4)*G4</f>
        <v>2.1954586607817517E-2</v>
      </c>
      <c r="L4" s="28">
        <f t="shared" ref="L4:L35" si="2">LN(J4/Barrier)/G4+(1+H4)*G4</f>
        <v>1.2581427738271227</v>
      </c>
      <c r="M4" s="28">
        <f t="shared" ref="M4:M35" si="3">LN(Barrier^2/(J4*Cap))/G4+(1+H4)*G4</f>
        <v>-1.8828778699321365</v>
      </c>
      <c r="N4" s="28">
        <f t="shared" ref="N4:N35" si="4">LN(Barrier/J4)/G4+(1+H4)*G4</f>
        <v>-0.64668968271283123</v>
      </c>
      <c r="O4" s="28">
        <f t="shared" ref="O4:O35" si="5">-J4*EXP((F4-C4)*E4)*NORMSDIST(-K4)+Cap*EXP(-C4*E4)*NORMSDIST(-K4+G4)</f>
        <v>497.54473757990081</v>
      </c>
      <c r="P4" s="28">
        <f t="shared" ref="P4:P35" si="6">-J4*EXP((F4-C4)*E4)*NORMSDIST(-L4)+Cap*EXP(-C4*E4)*NORMSDIST(-L4+G4)</f>
        <v>267.88753564729689</v>
      </c>
      <c r="Q4" s="28">
        <f t="shared" ref="Q4:Q35" si="7">-J4*EXP((F4-C4)*E4)*(Barrier/J4)^(2*(H4+1))*NORMSDIST(M4)+Cap*EXP(-C4*E4)*(Barrier/J4)^(2*H4)*NORMSDIST(M4-G4)</f>
        <v>-4.8455870136407313</v>
      </c>
      <c r="R4" s="28">
        <f t="shared" ref="R4:R35" si="8">-J4*EXP((F4-C4)*E4)*(Barrier/J4)^(2*(H4+1))*NORMSDIST(N4)+Cap*EXP(-C4*E4)*(Barrier/J4)^(2*H4)*NORMSDIST(N4-G4)</f>
        <v>106.95852052881193</v>
      </c>
      <c r="S4" s="22">
        <f t="shared" ref="S4:S35" si="9">Cap*EXP(-C4*E4)-O4+IF(J4&lt;=Barrier,0,O4-P4+Q4-R4)</f>
        <v>1553.0105665952378</v>
      </c>
      <c r="T4" s="22">
        <f t="shared" ref="T4:T35" si="10">B4*(1-dS)</f>
        <v>1690.8507</v>
      </c>
      <c r="U4" s="28">
        <f t="shared" ref="U4:U35" si="11">LN(T4/Cap)/G4+(1+H4)*G4</f>
        <v>-1.6416358831397082E-2</v>
      </c>
      <c r="V4" s="28">
        <f t="shared" ref="V4:V35" si="12">LN(T4/Barrier)/G4+(1+H4)*G4</f>
        <v>1.219771828387908</v>
      </c>
      <c r="W4" s="28">
        <f t="shared" ref="W4:W35" si="13">LN(Barrier^2/(T4*Cap))/G4+(1+H4)*G4</f>
        <v>-1.8445069244929215</v>
      </c>
      <c r="X4" s="28">
        <f t="shared" ref="X4:X35" si="14">LN(Barrier/T4)/G4+(1+H4)*G4</f>
        <v>-0.60831873727361629</v>
      </c>
      <c r="Y4" s="28">
        <f t="shared" ref="Y4:Y35" si="15">-T4*EXP((F4-C4)*E4)*NORMSDIST(-U4)+Cap*EXP(-C4*E4)*NORMSDIST(-U4+G4)</f>
        <v>514.40376924721932</v>
      </c>
      <c r="Z4" s="28">
        <f t="shared" ref="Z4:Z35" si="16">-T4*EXP((F4-C4)*E4)*NORMSDIST(-V4)+Cap*EXP(-C4*E4)*NORMSDIST(-V4+G4)</f>
        <v>282.38845715628844</v>
      </c>
      <c r="AA4" s="28">
        <f t="shared" ref="AA4:AA35" si="17">-T4*EXP((F4-C4)*E4)*(Barrier/T4)^(2*(H4+1))*NORMSDIST(W4)+Cap*EXP(-C4*E4)*(Barrier/T4)^(2*H4)*NORMSDIST(W4-G4)</f>
        <v>-5.3570097585025422</v>
      </c>
      <c r="AB4" s="28">
        <f t="shared" ref="AB4:AB35" si="18">-T4*EXP((F4-C4)*E4)*(Barrier/T4)^(2*(H4+1))*NORMSDIST(X4)+Cap*EXP(-C4*E4)*(Barrier/T4)^(2*H4)*NORMSDIST(X4-G4)</f>
        <v>110.95349415178356</v>
      </c>
      <c r="AC4" s="22">
        <f t="shared" ref="AC4:AC35" si="19">Cap*EXP(-C4*E4)-Y4+IF(T4&lt;=Barrier,0,Y4-Z4+AA4-AB4)</f>
        <v>1534.0032487184128</v>
      </c>
      <c r="AD4" s="43">
        <f t="shared" ref="AD4:AD35" si="20">(S4-AC4)/(2*dS*B4)</f>
        <v>0.55644311759922915</v>
      </c>
      <c r="AE4" s="22">
        <f t="shared" ref="AE4:AE35" si="21">AD4*B4</f>
        <v>950.36589384125148</v>
      </c>
      <c r="AF4" s="22">
        <f t="shared" ref="AF4:AF35" si="22">I4-AE4</f>
        <v>593.24939940621164</v>
      </c>
      <c r="AG4" s="30">
        <f t="shared" ref="AG4:AG35" si="23">AE4/I4</f>
        <v>0.61567535512159155</v>
      </c>
    </row>
    <row r="5" spans="1:33" x14ac:dyDescent="0.2">
      <c r="A5" s="35">
        <f>P2_TaskV_Valuation!A5</f>
        <v>45905</v>
      </c>
      <c r="B5" s="36">
        <f>P2_TaskV_Valuation!B5</f>
        <v>1727.24</v>
      </c>
      <c r="C5" s="45">
        <f>P2_TaskV_Valuation!N5</f>
        <v>1.8934379969126489E-2</v>
      </c>
      <c r="D5" s="37">
        <f>P2_TaskV_Valuation!C5</f>
        <v>0.38</v>
      </c>
      <c r="E5" s="46">
        <f>P2_TaskV_Valuation!D5</f>
        <v>1.7835616438356163</v>
      </c>
      <c r="F5" s="47">
        <f>P2_TaskV_Valuation!O5</f>
        <v>1.2934379969126488E-2</v>
      </c>
      <c r="G5" s="47">
        <f>P2_TaskV_Valuation!P5</f>
        <v>0.5074901982993002</v>
      </c>
      <c r="H5" s="47">
        <f>P2_TaskV_Valuation!Q5</f>
        <v>-0.41042673151574455</v>
      </c>
      <c r="I5" s="36">
        <f>P2_TaskV_Valuation!AB5</f>
        <v>1570.1787780308709</v>
      </c>
      <c r="J5" s="22">
        <f t="shared" si="0"/>
        <v>1744.5124000000001</v>
      </c>
      <c r="K5" s="28">
        <f t="shared" si="1"/>
        <v>2.9892840982679025E-2</v>
      </c>
      <c r="L5" s="28">
        <f t="shared" si="2"/>
        <v>1.2995863612711118</v>
      </c>
      <c r="M5" s="28">
        <f t="shared" si="3"/>
        <v>-1.9708745716894625</v>
      </c>
      <c r="N5" s="28">
        <f t="shared" si="4"/>
        <v>-0.70118105140102904</v>
      </c>
      <c r="O5" s="28">
        <f t="shared" si="5"/>
        <v>479.2755049080705</v>
      </c>
      <c r="P5" s="28">
        <f t="shared" si="6"/>
        <v>246.88747414970763</v>
      </c>
      <c r="Q5" s="28">
        <f t="shared" si="7"/>
        <v>-3.7569619374143421</v>
      </c>
      <c r="R5" s="28">
        <f t="shared" si="8"/>
        <v>103.45912975312297</v>
      </c>
      <c r="S5" s="22">
        <f t="shared" si="9"/>
        <v>1579.4828918336495</v>
      </c>
      <c r="T5" s="22">
        <f t="shared" si="10"/>
        <v>1709.9675999999999</v>
      </c>
      <c r="U5" s="28">
        <f t="shared" si="11"/>
        <v>-9.5181008910670828E-3</v>
      </c>
      <c r="V5" s="28">
        <f t="shared" si="12"/>
        <v>1.2601754193973658</v>
      </c>
      <c r="W5" s="28">
        <f t="shared" si="13"/>
        <v>-1.9314636298157157</v>
      </c>
      <c r="X5" s="28">
        <f t="shared" si="14"/>
        <v>-0.66177010952728299</v>
      </c>
      <c r="Y5" s="28">
        <f t="shared" si="15"/>
        <v>496.22426630423467</v>
      </c>
      <c r="Z5" s="28">
        <f t="shared" si="16"/>
        <v>261.03113890323766</v>
      </c>
      <c r="AA5" s="28">
        <f t="shared" si="17"/>
        <v>-4.1770190093112376</v>
      </c>
      <c r="AB5" s="28">
        <f t="shared" si="18"/>
        <v>107.7318583042188</v>
      </c>
      <c r="AC5" s="22">
        <f t="shared" si="19"/>
        <v>1560.6464414571267</v>
      </c>
      <c r="AD5" s="43">
        <f t="shared" si="20"/>
        <v>0.54527600033935242</v>
      </c>
      <c r="AE5" s="22">
        <f t="shared" si="21"/>
        <v>941.8225188261431</v>
      </c>
      <c r="AF5" s="22">
        <f t="shared" si="22"/>
        <v>628.35625920472785</v>
      </c>
      <c r="AG5" s="30">
        <f t="shared" si="23"/>
        <v>0.59981865250227329</v>
      </c>
    </row>
    <row r="6" spans="1:33" x14ac:dyDescent="0.2">
      <c r="A6" s="35">
        <f>P2_TaskV_Valuation!A6</f>
        <v>45908</v>
      </c>
      <c r="B6" s="36">
        <f>P2_TaskV_Valuation!B6</f>
        <v>1773.27</v>
      </c>
      <c r="C6" s="45">
        <f>P2_TaskV_Valuation!N6</f>
        <v>1.8881793675889713E-2</v>
      </c>
      <c r="D6" s="37">
        <f>P2_TaskV_Valuation!C6</f>
        <v>0.38300000000000001</v>
      </c>
      <c r="E6" s="46">
        <f>P2_TaskV_Valuation!D6</f>
        <v>1.7753424657534247</v>
      </c>
      <c r="F6" s="47">
        <f>P2_TaskV_Valuation!O6</f>
        <v>1.2881793675889713E-2</v>
      </c>
      <c r="G6" s="47">
        <f>P2_TaskV_Valuation!P6</f>
        <v>0.5103167751102291</v>
      </c>
      <c r="H6" s="47">
        <f>P2_TaskV_Valuation!Q6</f>
        <v>-0.41218296071355237</v>
      </c>
      <c r="I6" s="36">
        <f>P2_TaskV_Valuation!AB6</f>
        <v>1591.4730090108474</v>
      </c>
      <c r="J6" s="22">
        <f t="shared" si="0"/>
        <v>1791.0027</v>
      </c>
      <c r="K6" s="28">
        <f t="shared" si="1"/>
        <v>8.3692429811442454E-2</v>
      </c>
      <c r="L6" s="28">
        <f t="shared" si="2"/>
        <v>1.34635328639671</v>
      </c>
      <c r="M6" s="28">
        <f t="shared" si="3"/>
        <v>-2.0090683512949723</v>
      </c>
      <c r="N6" s="28">
        <f t="shared" si="4"/>
        <v>-0.74640749470970458</v>
      </c>
      <c r="O6" s="28">
        <f t="shared" si="5"/>
        <v>459.57394314893065</v>
      </c>
      <c r="P6" s="28">
        <f t="shared" si="6"/>
        <v>231.96719390926137</v>
      </c>
      <c r="Q6" s="28">
        <f t="shared" si="7"/>
        <v>-3.4043917498359377</v>
      </c>
      <c r="R6" s="28">
        <f t="shared" si="8"/>
        <v>98.275234728924914</v>
      </c>
      <c r="S6" s="22">
        <f t="shared" si="9"/>
        <v>1600.4211287749904</v>
      </c>
      <c r="T6" s="22">
        <f t="shared" si="10"/>
        <v>1755.5373</v>
      </c>
      <c r="U6" s="28">
        <f t="shared" si="11"/>
        <v>4.4499779908155623E-2</v>
      </c>
      <c r="V6" s="28">
        <f t="shared" si="12"/>
        <v>1.3071606364934236</v>
      </c>
      <c r="W6" s="28">
        <f t="shared" si="13"/>
        <v>-1.9698757013916857</v>
      </c>
      <c r="X6" s="28">
        <f t="shared" si="14"/>
        <v>-0.70721484480641772</v>
      </c>
      <c r="Y6" s="28">
        <f t="shared" si="15"/>
        <v>476.22125030071595</v>
      </c>
      <c r="Z6" s="28">
        <f t="shared" si="16"/>
        <v>245.49850854696615</v>
      </c>
      <c r="AA6" s="28">
        <f t="shared" si="17"/>
        <v>-3.7873301516609637</v>
      </c>
      <c r="AB6" s="28">
        <f t="shared" si="18"/>
        <v>102.4841192867741</v>
      </c>
      <c r="AC6" s="22">
        <f t="shared" si="19"/>
        <v>1582.2979911776115</v>
      </c>
      <c r="AD6" s="43">
        <f t="shared" si="20"/>
        <v>0.51100897205103846</v>
      </c>
      <c r="AE6" s="22">
        <f t="shared" si="21"/>
        <v>906.156879868945</v>
      </c>
      <c r="AF6" s="22">
        <f t="shared" si="22"/>
        <v>685.31612914190237</v>
      </c>
      <c r="AG6" s="30">
        <f t="shared" si="23"/>
        <v>0.56938249957010023</v>
      </c>
    </row>
    <row r="7" spans="1:33" x14ac:dyDescent="0.2">
      <c r="A7" s="35">
        <f>P2_TaskV_Valuation!A7</f>
        <v>45909</v>
      </c>
      <c r="B7" s="36">
        <f>P2_TaskV_Valuation!B7</f>
        <v>1761.39</v>
      </c>
      <c r="C7" s="45">
        <f>P2_TaskV_Valuation!N7</f>
        <v>1.8955416650169796E-2</v>
      </c>
      <c r="D7" s="37">
        <f>P2_TaskV_Valuation!C7</f>
        <v>0.372</v>
      </c>
      <c r="E7" s="46">
        <f>P2_TaskV_Valuation!D7</f>
        <v>1.7726027397260273</v>
      </c>
      <c r="F7" s="47">
        <f>P2_TaskV_Valuation!O7</f>
        <v>1.2955416650169796E-2</v>
      </c>
      <c r="G7" s="47">
        <f>P2_TaskV_Valuation!P7</f>
        <v>0.4952775560574561</v>
      </c>
      <c r="H7" s="47">
        <f>P2_TaskV_Valuation!Q7</f>
        <v>-0.40638067514907938</v>
      </c>
      <c r="I7" s="36">
        <f>P2_TaskV_Valuation!AB7</f>
        <v>1602.7091431244851</v>
      </c>
      <c r="J7" s="22">
        <f t="shared" si="0"/>
        <v>1779.0039000000002</v>
      </c>
      <c r="K7" s="28">
        <f t="shared" si="1"/>
        <v>5.7586207634211406E-2</v>
      </c>
      <c r="L7" s="28">
        <f t="shared" si="2"/>
        <v>1.3585880570209878</v>
      </c>
      <c r="M7" s="28">
        <f t="shared" si="3"/>
        <v>-2.0715772495264826</v>
      </c>
      <c r="N7" s="28">
        <f t="shared" si="4"/>
        <v>-0.77057540013970582</v>
      </c>
      <c r="O7" s="28">
        <f t="shared" si="5"/>
        <v>454.4902939533398</v>
      </c>
      <c r="P7" s="28">
        <f t="shared" si="6"/>
        <v>221.76761694546641</v>
      </c>
      <c r="Q7" s="28">
        <f t="shared" si="7"/>
        <v>-2.7941727653640189</v>
      </c>
      <c r="R7" s="28">
        <f t="shared" si="8"/>
        <v>97.598504148920881</v>
      </c>
      <c r="S7" s="22">
        <f t="shared" si="9"/>
        <v>1611.7553083032492</v>
      </c>
      <c r="T7" s="22">
        <f t="shared" si="10"/>
        <v>1743.7761</v>
      </c>
      <c r="U7" s="28">
        <f t="shared" si="11"/>
        <v>1.7203463732225699E-2</v>
      </c>
      <c r="V7" s="28">
        <f t="shared" si="12"/>
        <v>1.3182053131190026</v>
      </c>
      <c r="W7" s="28">
        <f t="shared" si="13"/>
        <v>-2.0311945056244971</v>
      </c>
      <c r="X7" s="28">
        <f t="shared" si="14"/>
        <v>-0.73019265623772012</v>
      </c>
      <c r="Y7" s="28">
        <f t="shared" si="15"/>
        <v>471.39709130881124</v>
      </c>
      <c r="Z7" s="28">
        <f t="shared" si="16"/>
        <v>235.29024580609268</v>
      </c>
      <c r="AA7" s="28">
        <f t="shared" si="17"/>
        <v>-3.1256146058226584</v>
      </c>
      <c r="AB7" s="28">
        <f t="shared" si="18"/>
        <v>102.07530803616586</v>
      </c>
      <c r="AC7" s="22">
        <f t="shared" si="19"/>
        <v>1593.4244337149191</v>
      </c>
      <c r="AD7" s="43">
        <f t="shared" si="20"/>
        <v>0.52035252239226015</v>
      </c>
      <c r="AE7" s="22">
        <f t="shared" si="21"/>
        <v>916.5437294165032</v>
      </c>
      <c r="AF7" s="22">
        <f t="shared" si="22"/>
        <v>686.16541370798188</v>
      </c>
      <c r="AG7" s="30">
        <f t="shared" si="23"/>
        <v>0.57187152974600186</v>
      </c>
    </row>
    <row r="8" spans="1:33" x14ac:dyDescent="0.2">
      <c r="A8" s="35">
        <f>P2_TaskV_Valuation!A8</f>
        <v>45910</v>
      </c>
      <c r="B8" s="36">
        <f>P2_TaskV_Valuation!B8</f>
        <v>1819.31</v>
      </c>
      <c r="C8" s="45">
        <f>P2_TaskV_Valuation!N8</f>
        <v>1.905338848198046E-2</v>
      </c>
      <c r="D8" s="37">
        <f>P2_TaskV_Valuation!C8</f>
        <v>0.38200000000000001</v>
      </c>
      <c r="E8" s="46">
        <f>P2_TaskV_Valuation!D8</f>
        <v>1.7698630136986302</v>
      </c>
      <c r="F8" s="47">
        <f>P2_TaskV_Valuation!O8</f>
        <v>1.305338848198046E-2</v>
      </c>
      <c r="G8" s="47">
        <f>P2_TaskV_Valuation!P8</f>
        <v>0.50819827863832723</v>
      </c>
      <c r="H8" s="47">
        <f>P2_TaskV_Valuation!Q8</f>
        <v>-0.41054666482565949</v>
      </c>
      <c r="I8" s="36">
        <f>P2_TaskV_Valuation!AB8</f>
        <v>1616.5299961754808</v>
      </c>
      <c r="J8" s="22">
        <f t="shared" si="0"/>
        <v>1837.5030999999999</v>
      </c>
      <c r="K8" s="28">
        <f t="shared" si="1"/>
        <v>0.13281413207919932</v>
      </c>
      <c r="L8" s="28">
        <f t="shared" si="2"/>
        <v>1.4007385692044323</v>
      </c>
      <c r="M8" s="28">
        <f t="shared" si="3"/>
        <v>-2.0695446657832233</v>
      </c>
      <c r="N8" s="28">
        <f t="shared" si="4"/>
        <v>-0.80162022865799054</v>
      </c>
      <c r="O8" s="28">
        <f t="shared" si="5"/>
        <v>436.76497350641012</v>
      </c>
      <c r="P8" s="28">
        <f t="shared" si="6"/>
        <v>213.14237687248746</v>
      </c>
      <c r="Q8" s="28">
        <f t="shared" si="7"/>
        <v>-2.8680572615826492</v>
      </c>
      <c r="R8" s="28">
        <f t="shared" si="8"/>
        <v>92.552983069519286</v>
      </c>
      <c r="S8" s="22">
        <f t="shared" si="9"/>
        <v>1625.1172979587</v>
      </c>
      <c r="T8" s="22">
        <f t="shared" si="10"/>
        <v>1801.1169</v>
      </c>
      <c r="U8" s="28">
        <f t="shared" si="11"/>
        <v>9.3458102066151016E-2</v>
      </c>
      <c r="V8" s="28">
        <f t="shared" si="12"/>
        <v>1.3613825391913839</v>
      </c>
      <c r="W8" s="28">
        <f t="shared" si="13"/>
        <v>-2.0301886357701751</v>
      </c>
      <c r="X8" s="28">
        <f t="shared" si="14"/>
        <v>-0.76226419864494233</v>
      </c>
      <c r="Y8" s="28">
        <f t="shared" si="15"/>
        <v>453.14359212682859</v>
      </c>
      <c r="Z8" s="28">
        <f t="shared" si="16"/>
        <v>226.00595279824398</v>
      </c>
      <c r="AA8" s="28">
        <f t="shared" si="17"/>
        <v>-3.1986315666000529</v>
      </c>
      <c r="AB8" s="28">
        <f t="shared" si="18"/>
        <v>96.761705581961905</v>
      </c>
      <c r="AC8" s="22">
        <f t="shared" si="19"/>
        <v>1607.7144252154835</v>
      </c>
      <c r="AD8" s="43">
        <f t="shared" si="20"/>
        <v>0.47828222631702261</v>
      </c>
      <c r="AE8" s="22">
        <f t="shared" si="21"/>
        <v>870.14363716082232</v>
      </c>
      <c r="AF8" s="22">
        <f t="shared" si="22"/>
        <v>746.38635901465852</v>
      </c>
      <c r="AG8" s="30">
        <f t="shared" si="23"/>
        <v>0.53827868286977631</v>
      </c>
    </row>
    <row r="9" spans="1:33" x14ac:dyDescent="0.2">
      <c r="A9" s="35">
        <f>P2_TaskV_Valuation!A9</f>
        <v>45911</v>
      </c>
      <c r="B9" s="36">
        <f>P2_TaskV_Valuation!B9</f>
        <v>1861.89</v>
      </c>
      <c r="C9" s="45">
        <f>P2_TaskV_Valuation!N9</f>
        <v>1.9423605705563382E-2</v>
      </c>
      <c r="D9" s="37">
        <f>P2_TaskV_Valuation!C9</f>
        <v>0.38100000000000001</v>
      </c>
      <c r="E9" s="46">
        <f>P2_TaskV_Valuation!D9</f>
        <v>1.7671232876712328</v>
      </c>
      <c r="F9" s="47">
        <f>P2_TaskV_Valuation!O9</f>
        <v>1.3423605705563382E-2</v>
      </c>
      <c r="G9" s="47">
        <f>P2_TaskV_Valuation!P9</f>
        <v>0.50647545208197786</v>
      </c>
      <c r="H9" s="47">
        <f>P2_TaskV_Valuation!Q9</f>
        <v>-0.40752608685829261</v>
      </c>
      <c r="I9" s="36">
        <f>P2_TaskV_Valuation!AB9</f>
        <v>1637.7149322306714</v>
      </c>
      <c r="J9" s="22">
        <f t="shared" si="0"/>
        <v>1880.5089</v>
      </c>
      <c r="K9" s="28">
        <f t="shared" si="1"/>
        <v>0.17843926847209696</v>
      </c>
      <c r="L9" s="28">
        <f t="shared" si="2"/>
        <v>1.4506766765078529</v>
      </c>
      <c r="M9" s="28">
        <f t="shared" si="3"/>
        <v>-2.1227670985331595</v>
      </c>
      <c r="N9" s="28">
        <f t="shared" si="4"/>
        <v>-0.85052969049740357</v>
      </c>
      <c r="O9" s="28">
        <f t="shared" si="5"/>
        <v>416.11715047526275</v>
      </c>
      <c r="P9" s="28">
        <f t="shared" si="6"/>
        <v>196.78511148954502</v>
      </c>
      <c r="Q9" s="28">
        <f t="shared" si="7"/>
        <v>-2.4555049989149111</v>
      </c>
      <c r="R9" s="28">
        <f t="shared" si="8"/>
        <v>87.32050756965495</v>
      </c>
      <c r="S9" s="22">
        <f t="shared" si="9"/>
        <v>1645.9558300468091</v>
      </c>
      <c r="T9" s="22">
        <f t="shared" si="10"/>
        <v>1843.2711000000002</v>
      </c>
      <c r="U9" s="28">
        <f t="shared" si="11"/>
        <v>0.13894936501388902</v>
      </c>
      <c r="V9" s="28">
        <f t="shared" si="12"/>
        <v>1.4111867730496452</v>
      </c>
      <c r="W9" s="28">
        <f t="shared" si="13"/>
        <v>-2.0832771950749516</v>
      </c>
      <c r="X9" s="28">
        <f t="shared" si="14"/>
        <v>-0.81103978703919588</v>
      </c>
      <c r="Y9" s="28">
        <f t="shared" si="15"/>
        <v>432.21597409853666</v>
      </c>
      <c r="Z9" s="28">
        <f t="shared" si="16"/>
        <v>209.02635049540297</v>
      </c>
      <c r="AA9" s="28">
        <f t="shared" si="17"/>
        <v>-2.7447012315301791</v>
      </c>
      <c r="AB9" s="28">
        <f t="shared" si="18"/>
        <v>91.500189456927188</v>
      </c>
      <c r="AC9" s="22">
        <f t="shared" si="19"/>
        <v>1629.2457129210634</v>
      </c>
      <c r="AD9" s="43">
        <f t="shared" si="20"/>
        <v>0.44874071845666724</v>
      </c>
      <c r="AE9" s="22">
        <f t="shared" si="21"/>
        <v>835.50585628728425</v>
      </c>
      <c r="AF9" s="22">
        <f t="shared" si="22"/>
        <v>802.20907594338712</v>
      </c>
      <c r="AG9" s="30">
        <f t="shared" si="23"/>
        <v>0.51016562152808387</v>
      </c>
    </row>
    <row r="10" spans="1:33" x14ac:dyDescent="0.2">
      <c r="A10" s="35">
        <f>P2_TaskV_Valuation!A10</f>
        <v>45912</v>
      </c>
      <c r="B10" s="36">
        <f>P2_TaskV_Valuation!B10</f>
        <v>1877.73</v>
      </c>
      <c r="C10" s="45">
        <f>P2_TaskV_Valuation!N10</f>
        <v>1.9649879070120609E-2</v>
      </c>
      <c r="D10" s="37">
        <f>P2_TaskV_Valuation!C10</f>
        <v>0.371</v>
      </c>
      <c r="E10" s="46">
        <f>P2_TaskV_Valuation!D10</f>
        <v>1.7643835616438357</v>
      </c>
      <c r="F10" s="47">
        <f>P2_TaskV_Valuation!O10</f>
        <v>1.3649879070120609E-2</v>
      </c>
      <c r="G10" s="47">
        <f>P2_TaskV_Valuation!P10</f>
        <v>0.49279967310076334</v>
      </c>
      <c r="H10" s="47">
        <f>P2_TaskV_Valuation!Q10</f>
        <v>-0.40082984670177774</v>
      </c>
      <c r="I10" s="36">
        <f>P2_TaskV_Valuation!AB10</f>
        <v>1660.1513327085395</v>
      </c>
      <c r="J10" s="22">
        <f t="shared" si="0"/>
        <v>1896.5073</v>
      </c>
      <c r="K10" s="28">
        <f t="shared" si="1"/>
        <v>0.18745169076100149</v>
      </c>
      <c r="L10" s="28">
        <f t="shared" si="2"/>
        <v>1.4949952050172721</v>
      </c>
      <c r="M10" s="28">
        <f t="shared" si="3"/>
        <v>-2.2119970079193463</v>
      </c>
      <c r="N10" s="28">
        <f t="shared" si="4"/>
        <v>-0.9044534936630757</v>
      </c>
      <c r="O10" s="28">
        <f t="shared" si="5"/>
        <v>398.89458042374179</v>
      </c>
      <c r="P10" s="28">
        <f t="shared" si="6"/>
        <v>178.88562827783002</v>
      </c>
      <c r="Q10" s="28">
        <f t="shared" si="7"/>
        <v>-1.8538533308239309</v>
      </c>
      <c r="R10" s="28">
        <f t="shared" si="8"/>
        <v>82.907695455592261</v>
      </c>
      <c r="S10" s="22">
        <f t="shared" si="9"/>
        <v>1668.2012077469419</v>
      </c>
      <c r="T10" s="22">
        <f t="shared" si="10"/>
        <v>1858.9527</v>
      </c>
      <c r="U10" s="28">
        <f t="shared" si="11"/>
        <v>0.14686589535894193</v>
      </c>
      <c r="V10" s="28">
        <f t="shared" si="12"/>
        <v>1.4544094096152123</v>
      </c>
      <c r="W10" s="28">
        <f t="shared" si="13"/>
        <v>-2.1714112125172864</v>
      </c>
      <c r="X10" s="28">
        <f t="shared" si="14"/>
        <v>-0.86386769826101562</v>
      </c>
      <c r="Y10" s="28">
        <f t="shared" si="15"/>
        <v>415.00679726986357</v>
      </c>
      <c r="Z10" s="28">
        <f t="shared" si="16"/>
        <v>190.66705174010943</v>
      </c>
      <c r="AA10" s="28">
        <f t="shared" si="17"/>
        <v>-2.08536524027617</v>
      </c>
      <c r="AB10" s="28">
        <f t="shared" si="18"/>
        <v>87.231288268284743</v>
      </c>
      <c r="AC10" s="22">
        <f t="shared" si="19"/>
        <v>1651.8646795625175</v>
      </c>
      <c r="AD10" s="43">
        <f t="shared" si="20"/>
        <v>0.43500738083815094</v>
      </c>
      <c r="AE10" s="22">
        <f t="shared" si="21"/>
        <v>816.82640922122118</v>
      </c>
      <c r="AF10" s="22">
        <f t="shared" si="22"/>
        <v>843.3249234873183</v>
      </c>
      <c r="AG10" s="30">
        <f t="shared" si="23"/>
        <v>0.49201924735895469</v>
      </c>
    </row>
    <row r="11" spans="1:33" x14ac:dyDescent="0.2">
      <c r="A11" s="35">
        <f>P2_TaskV_Valuation!A11</f>
        <v>45915</v>
      </c>
      <c r="B11" s="36">
        <f>P2_TaskV_Valuation!B11</f>
        <v>1930.7</v>
      </c>
      <c r="C11" s="45">
        <f>P2_TaskV_Valuation!N11</f>
        <v>1.95818288769555E-2</v>
      </c>
      <c r="D11" s="37">
        <f>P2_TaskV_Valuation!C11</f>
        <v>0.376</v>
      </c>
      <c r="E11" s="46">
        <f>P2_TaskV_Valuation!D11</f>
        <v>1.7561643835616438</v>
      </c>
      <c r="F11" s="47">
        <f>P2_TaskV_Valuation!O11</f>
        <v>1.35818288769555E-2</v>
      </c>
      <c r="G11" s="47">
        <f>P2_TaskV_Valuation!P11</f>
        <v>0.49827652552614898</v>
      </c>
      <c r="H11" s="47">
        <f>P2_TaskV_Valuation!Q11</f>
        <v>-0.40393115608762803</v>
      </c>
      <c r="I11" s="36">
        <f>P2_TaskV_Valuation!AB11</f>
        <v>1676.351032686988</v>
      </c>
      <c r="J11" s="22">
        <f t="shared" si="0"/>
        <v>1950.0070000000001</v>
      </c>
      <c r="K11" s="28">
        <f t="shared" si="1"/>
        <v>0.24620355876861916</v>
      </c>
      <c r="L11" s="28">
        <f t="shared" si="2"/>
        <v>1.5393750877908072</v>
      </c>
      <c r="M11" s="28">
        <f t="shared" si="3"/>
        <v>-2.2385323917749047</v>
      </c>
      <c r="N11" s="28">
        <f t="shared" si="4"/>
        <v>-0.9453608627527168</v>
      </c>
      <c r="O11" s="28">
        <f t="shared" si="5"/>
        <v>381.32624861749912</v>
      </c>
      <c r="P11" s="28">
        <f t="shared" si="6"/>
        <v>168.40580512971854</v>
      </c>
      <c r="Q11" s="28">
        <f t="shared" si="7"/>
        <v>-1.7333437650467385</v>
      </c>
      <c r="R11" s="28">
        <f t="shared" si="8"/>
        <v>78.240156486147328</v>
      </c>
      <c r="S11" s="22">
        <f t="shared" si="9"/>
        <v>1684.0120305745525</v>
      </c>
      <c r="T11" s="22">
        <f t="shared" si="10"/>
        <v>1911.393</v>
      </c>
      <c r="U11" s="28">
        <f t="shared" si="11"/>
        <v>0.20606386588312747</v>
      </c>
      <c r="V11" s="28">
        <f t="shared" si="12"/>
        <v>1.4992353949053152</v>
      </c>
      <c r="W11" s="28">
        <f t="shared" si="13"/>
        <v>-2.1983926988894131</v>
      </c>
      <c r="X11" s="28">
        <f t="shared" si="14"/>
        <v>-0.90522116986722478</v>
      </c>
      <c r="Y11" s="28">
        <f t="shared" si="15"/>
        <v>397.01224303723427</v>
      </c>
      <c r="Z11" s="28">
        <f t="shared" si="16"/>
        <v>179.5921322237684</v>
      </c>
      <c r="AA11" s="28">
        <f t="shared" si="17"/>
        <v>-1.948879407894557</v>
      </c>
      <c r="AB11" s="28">
        <f t="shared" si="18"/>
        <v>82.390356095777349</v>
      </c>
      <c r="AC11" s="22">
        <f t="shared" si="19"/>
        <v>1668.459968228025</v>
      </c>
      <c r="AD11" s="43">
        <f t="shared" si="20"/>
        <v>0.40275709189743258</v>
      </c>
      <c r="AE11" s="22">
        <f t="shared" si="21"/>
        <v>777.60311732637308</v>
      </c>
      <c r="AF11" s="22">
        <f t="shared" si="22"/>
        <v>898.74791536061491</v>
      </c>
      <c r="AG11" s="30">
        <f t="shared" si="23"/>
        <v>0.46386651850595356</v>
      </c>
    </row>
    <row r="12" spans="1:33" x14ac:dyDescent="0.2">
      <c r="A12" s="35">
        <f>P2_TaskV_Valuation!A12</f>
        <v>45916</v>
      </c>
      <c r="B12" s="36">
        <f>P2_TaskV_Valuation!B12</f>
        <v>1882.19</v>
      </c>
      <c r="C12" s="45">
        <f>P2_TaskV_Valuation!N12</f>
        <v>1.9648921107277898E-2</v>
      </c>
      <c r="D12" s="37">
        <f>P2_TaskV_Valuation!C12</f>
        <v>0.377</v>
      </c>
      <c r="E12" s="46">
        <f>P2_TaskV_Valuation!D12</f>
        <v>1.7534246575342465</v>
      </c>
      <c r="F12" s="47">
        <f>P2_TaskV_Valuation!O12</f>
        <v>1.3648921107277898E-2</v>
      </c>
      <c r="G12" s="47">
        <f>P2_TaskV_Valuation!P12</f>
        <v>0.49921187200494832</v>
      </c>
      <c r="H12" s="47">
        <f>P2_TaskV_Valuation!Q12</f>
        <v>-0.40396807754027753</v>
      </c>
      <c r="I12" s="36">
        <f>P2_TaskV_Valuation!AB12</f>
        <v>1654.9493883962687</v>
      </c>
      <c r="J12" s="22">
        <f t="shared" si="0"/>
        <v>1901.0119</v>
      </c>
      <c r="K12" s="28">
        <f t="shared" si="1"/>
        <v>0.19586422051797214</v>
      </c>
      <c r="L12" s="28">
        <f t="shared" si="2"/>
        <v>1.4866128034846173</v>
      </c>
      <c r="M12" s="28">
        <f t="shared" si="3"/>
        <v>-2.1822689628796099</v>
      </c>
      <c r="N12" s="28">
        <f t="shared" si="4"/>
        <v>-0.89152037991296496</v>
      </c>
      <c r="O12" s="28">
        <f t="shared" si="5"/>
        <v>401.93080677116257</v>
      </c>
      <c r="P12" s="28">
        <f t="shared" si="6"/>
        <v>183.52558859344143</v>
      </c>
      <c r="Q12" s="28">
        <f t="shared" si="7"/>
        <v>-2.0444339173652608</v>
      </c>
      <c r="R12" s="28">
        <f t="shared" si="8"/>
        <v>83.699299631768071</v>
      </c>
      <c r="S12" s="22">
        <f t="shared" si="9"/>
        <v>1662.9983595555027</v>
      </c>
      <c r="T12" s="22">
        <f t="shared" si="10"/>
        <v>1863.3681000000001</v>
      </c>
      <c r="U12" s="28">
        <f t="shared" si="11"/>
        <v>0.15579973521969162</v>
      </c>
      <c r="V12" s="28">
        <f t="shared" si="12"/>
        <v>1.4465483181863368</v>
      </c>
      <c r="W12" s="28">
        <f t="shared" si="13"/>
        <v>-2.1422044775813296</v>
      </c>
      <c r="X12" s="28">
        <f t="shared" si="14"/>
        <v>-0.85145589461468418</v>
      </c>
      <c r="Y12" s="28">
        <f t="shared" si="15"/>
        <v>417.95536729053993</v>
      </c>
      <c r="Z12" s="28">
        <f t="shared" si="16"/>
        <v>195.36763325175588</v>
      </c>
      <c r="AA12" s="28">
        <f t="shared" si="17"/>
        <v>-2.2937644971080022</v>
      </c>
      <c r="AB12" s="28">
        <f t="shared" si="18"/>
        <v>87.938173814917292</v>
      </c>
      <c r="AC12" s="22">
        <f t="shared" si="19"/>
        <v>1646.6681101342963</v>
      </c>
      <c r="AD12" s="43">
        <f t="shared" si="20"/>
        <v>0.43380980191177348</v>
      </c>
      <c r="AE12" s="22">
        <f t="shared" si="21"/>
        <v>816.51247106032099</v>
      </c>
      <c r="AF12" s="22">
        <f t="shared" si="22"/>
        <v>838.43691733594767</v>
      </c>
      <c r="AG12" s="30">
        <f t="shared" si="23"/>
        <v>0.49337609765309121</v>
      </c>
    </row>
    <row r="13" spans="1:33" x14ac:dyDescent="0.2">
      <c r="A13" s="35">
        <f>P2_TaskV_Valuation!A13</f>
        <v>45917</v>
      </c>
      <c r="B13" s="36">
        <f>P2_TaskV_Valuation!B13</f>
        <v>1869.81</v>
      </c>
      <c r="C13" s="45">
        <f>P2_TaskV_Valuation!N13</f>
        <v>1.9507499472690433E-2</v>
      </c>
      <c r="D13" s="37">
        <f>P2_TaskV_Valuation!C13</f>
        <v>0.36699999999999999</v>
      </c>
      <c r="E13" s="46">
        <f>P2_TaskV_Valuation!D13</f>
        <v>1.7506849315068493</v>
      </c>
      <c r="F13" s="47">
        <f>P2_TaskV_Valuation!O13</f>
        <v>1.3507499472690433E-2</v>
      </c>
      <c r="G13" s="47">
        <f>P2_TaskV_Valuation!P13</f>
        <v>0.48559036516360782</v>
      </c>
      <c r="H13" s="47">
        <f>P2_TaskV_Valuation!Q13</f>
        <v>-0.39971341777954816</v>
      </c>
      <c r="I13" s="36">
        <f>P2_TaskV_Valuation!AB13</f>
        <v>1665.6137795141094</v>
      </c>
      <c r="J13" s="22">
        <f t="shared" si="0"/>
        <v>1888.5081</v>
      </c>
      <c r="K13" s="28">
        <f t="shared" si="1"/>
        <v>0.17336906767137589</v>
      </c>
      <c r="L13" s="28">
        <f t="shared" si="2"/>
        <v>1.5003250013489582</v>
      </c>
      <c r="M13" s="28">
        <f t="shared" si="3"/>
        <v>-2.2442941737000539</v>
      </c>
      <c r="N13" s="28">
        <f t="shared" si="4"/>
        <v>-0.91733824002247122</v>
      </c>
      <c r="O13" s="28">
        <f t="shared" si="5"/>
        <v>397.5430300448686</v>
      </c>
      <c r="P13" s="28">
        <f t="shared" si="6"/>
        <v>175.04734539211569</v>
      </c>
      <c r="Q13" s="28">
        <f t="shared" si="7"/>
        <v>-1.6697474697051078</v>
      </c>
      <c r="R13" s="28">
        <f t="shared" si="8"/>
        <v>82.432581477449673</v>
      </c>
      <c r="S13" s="22">
        <f t="shared" si="9"/>
        <v>1673.7005142154242</v>
      </c>
      <c r="T13" s="22">
        <f t="shared" si="10"/>
        <v>1851.1118999999999</v>
      </c>
      <c r="U13" s="28">
        <f t="shared" si="11"/>
        <v>0.13218071604514284</v>
      </c>
      <c r="V13" s="28">
        <f t="shared" si="12"/>
        <v>1.4591366497227254</v>
      </c>
      <c r="W13" s="28">
        <f t="shared" si="13"/>
        <v>-2.2031058220738209</v>
      </c>
      <c r="X13" s="28">
        <f t="shared" si="14"/>
        <v>-0.87614988839623842</v>
      </c>
      <c r="Y13" s="28">
        <f t="shared" si="15"/>
        <v>413.79822886703823</v>
      </c>
      <c r="Z13" s="28">
        <f t="shared" si="16"/>
        <v>186.82216023743553</v>
      </c>
      <c r="AA13" s="28">
        <f t="shared" si="17"/>
        <v>-1.8836704399519117</v>
      </c>
      <c r="AB13" s="28">
        <f t="shared" si="18"/>
        <v>86.859630329192555</v>
      </c>
      <c r="AC13" s="22">
        <f t="shared" si="19"/>
        <v>1657.2847275481145</v>
      </c>
      <c r="AD13" s="43">
        <f t="shared" si="20"/>
        <v>0.43896937836758021</v>
      </c>
      <c r="AE13" s="22">
        <f t="shared" si="21"/>
        <v>820.78933336548516</v>
      </c>
      <c r="AF13" s="22">
        <f t="shared" si="22"/>
        <v>844.82444614862425</v>
      </c>
      <c r="AG13" s="30">
        <f t="shared" si="23"/>
        <v>0.49278490815855563</v>
      </c>
    </row>
    <row r="14" spans="1:33" x14ac:dyDescent="0.2">
      <c r="A14" s="35">
        <f>P2_TaskV_Valuation!A14</f>
        <v>45918</v>
      </c>
      <c r="B14" s="36">
        <f>P2_TaskV_Valuation!B14</f>
        <v>1900.5</v>
      </c>
      <c r="C14" s="45">
        <f>P2_TaskV_Valuation!N14</f>
        <v>1.9641011764870906E-2</v>
      </c>
      <c r="D14" s="37">
        <f>P2_TaskV_Valuation!C14</f>
        <v>0.36099999999999999</v>
      </c>
      <c r="E14" s="46">
        <f>P2_TaskV_Valuation!D14</f>
        <v>1.747945205479452</v>
      </c>
      <c r="F14" s="47">
        <f>P2_TaskV_Valuation!O14</f>
        <v>1.3641011764870906E-2</v>
      </c>
      <c r="G14" s="47">
        <f>P2_TaskV_Valuation!P14</f>
        <v>0.47727766250191062</v>
      </c>
      <c r="H14" s="47">
        <f>P2_TaskV_Valuation!Q14</f>
        <v>-0.39532760057956196</v>
      </c>
      <c r="I14" s="36">
        <f>P2_TaskV_Valuation!AB14</f>
        <v>1688.2290989884618</v>
      </c>
      <c r="J14" s="22">
        <f t="shared" si="0"/>
        <v>1919.5050000000001</v>
      </c>
      <c r="K14" s="28">
        <f t="shared" si="1"/>
        <v>0.20252547313366248</v>
      </c>
      <c r="L14" s="28">
        <f t="shared" si="2"/>
        <v>1.5525928804637381</v>
      </c>
      <c r="M14" s="28">
        <f t="shared" si="3"/>
        <v>-2.3254670290441966</v>
      </c>
      <c r="N14" s="28">
        <f t="shared" si="4"/>
        <v>-0.97539962171412142</v>
      </c>
      <c r="O14" s="28">
        <f t="shared" si="5"/>
        <v>378.12622316069076</v>
      </c>
      <c r="P14" s="28">
        <f t="shared" si="6"/>
        <v>158.24557158323785</v>
      </c>
      <c r="Q14" s="28">
        <f t="shared" si="7"/>
        <v>-1.2907877039818896</v>
      </c>
      <c r="R14" s="28">
        <f t="shared" si="8"/>
        <v>76.97541976759365</v>
      </c>
      <c r="S14" s="22">
        <f t="shared" si="9"/>
        <v>1695.9906689127697</v>
      </c>
      <c r="T14" s="22">
        <f t="shared" si="10"/>
        <v>1881.4949999999999</v>
      </c>
      <c r="U14" s="28">
        <f t="shared" si="11"/>
        <v>0.16061974764501255</v>
      </c>
      <c r="V14" s="28">
        <f t="shared" si="12"/>
        <v>1.510687154975088</v>
      </c>
      <c r="W14" s="28">
        <f t="shared" si="13"/>
        <v>-2.2835613035555475</v>
      </c>
      <c r="X14" s="28">
        <f t="shared" si="14"/>
        <v>-0.9334938962254713</v>
      </c>
      <c r="Y14" s="28">
        <f t="shared" si="15"/>
        <v>394.22240414144403</v>
      </c>
      <c r="Z14" s="28">
        <f t="shared" si="16"/>
        <v>169.41053079042138</v>
      </c>
      <c r="AA14" s="28">
        <f t="shared" si="17"/>
        <v>-1.4636289665533404</v>
      </c>
      <c r="AB14" s="28">
        <f t="shared" si="18"/>
        <v>81.406363953763588</v>
      </c>
      <c r="AC14" s="22">
        <f t="shared" si="19"/>
        <v>1680.2219242568449</v>
      </c>
      <c r="AD14" s="43">
        <f t="shared" si="20"/>
        <v>0.41485779152656727</v>
      </c>
      <c r="AE14" s="22">
        <f t="shared" si="21"/>
        <v>788.43723279624112</v>
      </c>
      <c r="AF14" s="22">
        <f t="shared" si="22"/>
        <v>899.79186619222071</v>
      </c>
      <c r="AG14" s="30">
        <f t="shared" si="23"/>
        <v>0.46702028372135629</v>
      </c>
    </row>
    <row r="15" spans="1:33" x14ac:dyDescent="0.2">
      <c r="A15" s="35">
        <f>P2_TaskV_Valuation!A15</f>
        <v>45919</v>
      </c>
      <c r="B15" s="36">
        <f>P2_TaskV_Valuation!B15</f>
        <v>1908.92</v>
      </c>
      <c r="C15" s="45">
        <f>P2_TaskV_Valuation!N15</f>
        <v>1.9749218065677615E-2</v>
      </c>
      <c r="D15" s="37">
        <f>P2_TaskV_Valuation!C15</f>
        <v>0.35099999999999998</v>
      </c>
      <c r="E15" s="46">
        <f>P2_TaskV_Valuation!D15</f>
        <v>1.7452054794520548</v>
      </c>
      <c r="F15" s="47">
        <f>P2_TaskV_Valuation!O15</f>
        <v>1.3749218065677615E-2</v>
      </c>
      <c r="G15" s="47">
        <f>P2_TaskV_Valuation!P15</f>
        <v>0.46369285122155224</v>
      </c>
      <c r="H15" s="47">
        <f>P2_TaskV_Valuation!Q15</f>
        <v>-0.38840010985562118</v>
      </c>
      <c r="I15" s="36">
        <f>P2_TaskV_Valuation!AB15</f>
        <v>1707.3541476673922</v>
      </c>
      <c r="J15" s="22">
        <f t="shared" si="0"/>
        <v>1928.0092000000002</v>
      </c>
      <c r="K15" s="28">
        <f t="shared" si="1"/>
        <v>0.20453523921016614</v>
      </c>
      <c r="L15" s="28">
        <f t="shared" si="2"/>
        <v>1.5941555766663498</v>
      </c>
      <c r="M15" s="28">
        <f t="shared" si="3"/>
        <v>-2.4165869203868628</v>
      </c>
      <c r="N15" s="28">
        <f t="shared" si="4"/>
        <v>-1.0269665829306793</v>
      </c>
      <c r="O15" s="28">
        <f t="shared" si="5"/>
        <v>364.32009182409706</v>
      </c>
      <c r="P15" s="28">
        <f t="shared" si="6"/>
        <v>143.73529228452145</v>
      </c>
      <c r="Q15" s="28">
        <f t="shared" si="7"/>
        <v>-0.95254986956243481</v>
      </c>
      <c r="R15" s="28">
        <f t="shared" si="8"/>
        <v>72.637097938297245</v>
      </c>
      <c r="S15" s="22">
        <f t="shared" si="9"/>
        <v>1714.9165772946119</v>
      </c>
      <c r="T15" s="22">
        <f t="shared" si="10"/>
        <v>1889.8308</v>
      </c>
      <c r="U15" s="28">
        <f t="shared" si="11"/>
        <v>0.16140180151756439</v>
      </c>
      <c r="V15" s="28">
        <f t="shared" si="12"/>
        <v>1.5510221389737482</v>
      </c>
      <c r="W15" s="28">
        <f t="shared" si="13"/>
        <v>-2.373453482694261</v>
      </c>
      <c r="X15" s="28">
        <f t="shared" si="14"/>
        <v>-0.98383314523807752</v>
      </c>
      <c r="Y15" s="28">
        <f t="shared" si="15"/>
        <v>380.46714150556534</v>
      </c>
      <c r="Z15" s="28">
        <f t="shared" si="16"/>
        <v>154.46355178019121</v>
      </c>
      <c r="AA15" s="28">
        <f t="shared" si="17"/>
        <v>-1.087928013424893</v>
      </c>
      <c r="AB15" s="28">
        <f t="shared" si="18"/>
        <v>77.151851090912146</v>
      </c>
      <c r="AC15" s="22">
        <f t="shared" si="19"/>
        <v>1699.5381865024647</v>
      </c>
      <c r="AD15" s="43">
        <f t="shared" si="20"/>
        <v>0.40280343838786403</v>
      </c>
      <c r="AE15" s="22">
        <f t="shared" si="21"/>
        <v>768.91953960736146</v>
      </c>
      <c r="AF15" s="22">
        <f t="shared" si="22"/>
        <v>938.43460806003077</v>
      </c>
      <c r="AG15" s="30">
        <f t="shared" si="23"/>
        <v>0.45035737937431936</v>
      </c>
    </row>
    <row r="16" spans="1:33" x14ac:dyDescent="0.2">
      <c r="A16" s="35">
        <f>P2_TaskV_Valuation!A16</f>
        <v>45922</v>
      </c>
      <c r="B16" s="36">
        <f>P2_TaskV_Valuation!B16</f>
        <v>1920.8</v>
      </c>
      <c r="C16" s="45">
        <f>P2_TaskV_Valuation!N16</f>
        <v>1.9704808730292459E-2</v>
      </c>
      <c r="D16" s="37">
        <f>P2_TaskV_Valuation!C16</f>
        <v>0.34100000000000003</v>
      </c>
      <c r="E16" s="46">
        <f>P2_TaskV_Valuation!D16</f>
        <v>1.736986301369863</v>
      </c>
      <c r="F16" s="47">
        <f>P2_TaskV_Valuation!O16</f>
        <v>1.3704808730292459E-2</v>
      </c>
      <c r="G16" s="47">
        <f>P2_TaskV_Valuation!P16</f>
        <v>0.44942018658443572</v>
      </c>
      <c r="H16" s="47">
        <f>P2_TaskV_Valuation!Q16</f>
        <v>-0.38214060138550188</v>
      </c>
      <c r="I16" s="36">
        <f>P2_TaskV_Valuation!AB16</f>
        <v>1728.9476320686865</v>
      </c>
      <c r="J16" s="22">
        <f t="shared" si="0"/>
        <v>1940.008</v>
      </c>
      <c r="K16" s="28">
        <f t="shared" si="1"/>
        <v>0.20991320843264261</v>
      </c>
      <c r="L16" s="28">
        <f t="shared" si="2"/>
        <v>1.6436650416281762</v>
      </c>
      <c r="M16" s="28">
        <f t="shared" si="3"/>
        <v>-2.5220599024071593</v>
      </c>
      <c r="N16" s="28">
        <f t="shared" si="4"/>
        <v>-1.088308069211626</v>
      </c>
      <c r="O16" s="28">
        <f t="shared" si="5"/>
        <v>348.92855658335316</v>
      </c>
      <c r="P16" s="28">
        <f t="shared" si="6"/>
        <v>128.33273580776577</v>
      </c>
      <c r="Q16" s="28">
        <f t="shared" si="7"/>
        <v>-0.66637777385677222</v>
      </c>
      <c r="R16" s="28">
        <f t="shared" si="8"/>
        <v>67.462004347543981</v>
      </c>
      <c r="S16" s="22">
        <f t="shared" si="9"/>
        <v>1736.2431508590846</v>
      </c>
      <c r="T16" s="22">
        <f t="shared" si="10"/>
        <v>1901.5919999999999</v>
      </c>
      <c r="U16" s="28">
        <f t="shared" si="11"/>
        <v>0.16540994110352394</v>
      </c>
      <c r="V16" s="28">
        <f t="shared" si="12"/>
        <v>1.5991617742990574</v>
      </c>
      <c r="W16" s="28">
        <f t="shared" si="13"/>
        <v>-2.4775566350780402</v>
      </c>
      <c r="X16" s="28">
        <f t="shared" si="14"/>
        <v>-1.043804801882507</v>
      </c>
      <c r="Y16" s="28">
        <f t="shared" si="15"/>
        <v>365.10691632445798</v>
      </c>
      <c r="Z16" s="28">
        <f t="shared" si="16"/>
        <v>138.52933378458113</v>
      </c>
      <c r="AA16" s="28">
        <f t="shared" si="17"/>
        <v>-0.76749844755099428</v>
      </c>
      <c r="AB16" s="28">
        <f t="shared" si="18"/>
        <v>72.016291815270222</v>
      </c>
      <c r="AC16" s="22">
        <f t="shared" si="19"/>
        <v>1721.3911447408486</v>
      </c>
      <c r="AD16" s="43">
        <f t="shared" si="20"/>
        <v>0.38660990520189448</v>
      </c>
      <c r="AE16" s="22">
        <f t="shared" si="21"/>
        <v>742.60030591179884</v>
      </c>
      <c r="AF16" s="22">
        <f t="shared" si="22"/>
        <v>986.34732615688768</v>
      </c>
      <c r="AG16" s="30">
        <f t="shared" si="23"/>
        <v>0.42951000489429358</v>
      </c>
    </row>
    <row r="17" spans="1:33" x14ac:dyDescent="0.2">
      <c r="A17" s="35">
        <f>P2_TaskV_Valuation!A17</f>
        <v>45923</v>
      </c>
      <c r="B17" s="36">
        <f>P2_TaskV_Valuation!B17</f>
        <v>1893.08</v>
      </c>
      <c r="C17" s="45">
        <f>P2_TaskV_Valuation!N17</f>
        <v>1.9784574918841481E-2</v>
      </c>
      <c r="D17" s="37">
        <f>P2_TaskV_Valuation!C17</f>
        <v>0.33500000000000002</v>
      </c>
      <c r="E17" s="46">
        <f>P2_TaskV_Valuation!D17</f>
        <v>1.7342465753424658</v>
      </c>
      <c r="F17" s="47">
        <f>P2_TaskV_Valuation!O17</f>
        <v>1.3784574918841481E-2</v>
      </c>
      <c r="G17" s="47">
        <f>P2_TaskV_Valuation!P17</f>
        <v>0.44116416662939467</v>
      </c>
      <c r="H17" s="47">
        <f>P2_TaskV_Valuation!Q17</f>
        <v>-0.37717019453026079</v>
      </c>
      <c r="I17" s="36">
        <f>P2_TaskV_Valuation!AB17</f>
        <v>1727.622325421323</v>
      </c>
      <c r="J17" s="22">
        <f t="shared" si="0"/>
        <v>1912.0108</v>
      </c>
      <c r="K17" s="28">
        <f t="shared" si="1"/>
        <v>0.17278612171910207</v>
      </c>
      <c r="L17" s="28">
        <f t="shared" si="2"/>
        <v>1.6333694263731569</v>
      </c>
      <c r="M17" s="28">
        <f t="shared" si="3"/>
        <v>-2.5444123468632007</v>
      </c>
      <c r="N17" s="28">
        <f t="shared" si="4"/>
        <v>-1.0838290422091457</v>
      </c>
      <c r="O17" s="28">
        <f t="shared" si="5"/>
        <v>354.40385497477212</v>
      </c>
      <c r="P17" s="28">
        <f t="shared" si="6"/>
        <v>128.44234923519133</v>
      </c>
      <c r="Q17" s="28">
        <f t="shared" si="7"/>
        <v>-0.6101766912330584</v>
      </c>
      <c r="R17" s="28">
        <f t="shared" si="8"/>
        <v>68.401956777386076</v>
      </c>
      <c r="S17" s="22">
        <f t="shared" si="9"/>
        <v>1735.0867723269903</v>
      </c>
      <c r="T17" s="22">
        <f t="shared" si="10"/>
        <v>1874.1491999999998</v>
      </c>
      <c r="U17" s="28">
        <f t="shared" si="11"/>
        <v>0.12745001280644991</v>
      </c>
      <c r="V17" s="28">
        <f t="shared" si="12"/>
        <v>1.5880333174605048</v>
      </c>
      <c r="W17" s="28">
        <f t="shared" si="13"/>
        <v>-2.4990762379505482</v>
      </c>
      <c r="X17" s="28">
        <f t="shared" si="14"/>
        <v>-1.0384929332964936</v>
      </c>
      <c r="Y17" s="28">
        <f t="shared" si="15"/>
        <v>370.90216476995124</v>
      </c>
      <c r="Z17" s="28">
        <f t="shared" si="16"/>
        <v>138.83044088678963</v>
      </c>
      <c r="AA17" s="28">
        <f t="shared" si="17"/>
        <v>-0.70533049827536143</v>
      </c>
      <c r="AB17" s="28">
        <f t="shared" si="18"/>
        <v>73.117830740696604</v>
      </c>
      <c r="AC17" s="22">
        <f t="shared" si="19"/>
        <v>1719.887652905039</v>
      </c>
      <c r="AD17" s="43">
        <f t="shared" si="20"/>
        <v>0.40143890965916146</v>
      </c>
      <c r="AE17" s="22">
        <f t="shared" si="21"/>
        <v>759.95597109756534</v>
      </c>
      <c r="AF17" s="22">
        <f t="shared" si="22"/>
        <v>967.66635432375767</v>
      </c>
      <c r="AG17" s="30">
        <f t="shared" si="23"/>
        <v>0.43988547723370702</v>
      </c>
    </row>
    <row r="18" spans="1:33" x14ac:dyDescent="0.2">
      <c r="A18" s="35">
        <f>P2_TaskV_Valuation!A18</f>
        <v>45924</v>
      </c>
      <c r="B18" s="36">
        <f>P2_TaskV_Valuation!B18</f>
        <v>1958.92</v>
      </c>
      <c r="C18" s="45">
        <f>P2_TaskV_Valuation!N18</f>
        <v>1.9707184983734118E-2</v>
      </c>
      <c r="D18" s="37">
        <f>P2_TaskV_Valuation!C18</f>
        <v>0.35099999999999998</v>
      </c>
      <c r="E18" s="46">
        <f>P2_TaskV_Valuation!D18</f>
        <v>1.7315068493150685</v>
      </c>
      <c r="F18" s="47">
        <f>P2_TaskV_Valuation!O18</f>
        <v>1.3707184983734117E-2</v>
      </c>
      <c r="G18" s="47">
        <f>P2_TaskV_Valuation!P18</f>
        <v>0.46186943538457459</v>
      </c>
      <c r="H18" s="47">
        <f>P2_TaskV_Valuation!Q18</f>
        <v>-0.38874128469952257</v>
      </c>
      <c r="I18" s="36">
        <f>P2_TaskV_Valuation!AB18</f>
        <v>1729.1469822382403</v>
      </c>
      <c r="J18" s="22">
        <f t="shared" si="0"/>
        <v>1978.5092000000002</v>
      </c>
      <c r="K18" s="28">
        <f t="shared" si="1"/>
        <v>0.25893080263206558</v>
      </c>
      <c r="L18" s="28">
        <f t="shared" si="2"/>
        <v>1.6540372267105299</v>
      </c>
      <c r="M18" s="28">
        <f t="shared" si="3"/>
        <v>-2.4845002153695308</v>
      </c>
      <c r="N18" s="28">
        <f t="shared" si="4"/>
        <v>-1.0893937912910667</v>
      </c>
      <c r="O18" s="28">
        <f t="shared" si="5"/>
        <v>342.87114096328673</v>
      </c>
      <c r="P18" s="28">
        <f t="shared" si="6"/>
        <v>129.30992313225505</v>
      </c>
      <c r="Q18" s="28">
        <f t="shared" si="7"/>
        <v>-0.76891550088669991</v>
      </c>
      <c r="R18" s="28">
        <f t="shared" si="8"/>
        <v>66.584069650313182</v>
      </c>
      <c r="S18" s="22">
        <f t="shared" si="9"/>
        <v>1736.2420959031658</v>
      </c>
      <c r="T18" s="22">
        <f t="shared" si="10"/>
        <v>1939.3308</v>
      </c>
      <c r="U18" s="28">
        <f t="shared" si="11"/>
        <v>0.21562707830136574</v>
      </c>
      <c r="V18" s="28">
        <f t="shared" si="12"/>
        <v>1.6107335023798302</v>
      </c>
      <c r="W18" s="28">
        <f t="shared" si="13"/>
        <v>-2.4411964910388315</v>
      </c>
      <c r="X18" s="28">
        <f t="shared" si="14"/>
        <v>-1.0460900669603663</v>
      </c>
      <c r="Y18" s="28">
        <f t="shared" si="15"/>
        <v>358.62090555373766</v>
      </c>
      <c r="Z18" s="28">
        <f t="shared" si="16"/>
        <v>139.2945359824474</v>
      </c>
      <c r="AA18" s="28">
        <f t="shared" si="17"/>
        <v>-0.88086057529828743</v>
      </c>
      <c r="AB18" s="28">
        <f t="shared" si="18"/>
        <v>70.926309189550324</v>
      </c>
      <c r="AC18" s="22">
        <f t="shared" si="19"/>
        <v>1721.8032984393249</v>
      </c>
      <c r="AD18" s="43">
        <f t="shared" si="20"/>
        <v>0.36853974291550839</v>
      </c>
      <c r="AE18" s="22">
        <f t="shared" si="21"/>
        <v>721.93987319204768</v>
      </c>
      <c r="AF18" s="22">
        <f t="shared" si="22"/>
        <v>1007.2071090461926</v>
      </c>
      <c r="AG18" s="30">
        <f t="shared" si="23"/>
        <v>0.41751214940534159</v>
      </c>
    </row>
    <row r="19" spans="1:33" x14ac:dyDescent="0.2">
      <c r="A19" s="35">
        <f>P2_TaskV_Valuation!A19</f>
        <v>45925</v>
      </c>
      <c r="B19" s="36">
        <f>P2_TaskV_Valuation!B19</f>
        <v>1958.92</v>
      </c>
      <c r="C19" s="45">
        <f>P2_TaskV_Valuation!N19</f>
        <v>1.9906614919045943E-2</v>
      </c>
      <c r="D19" s="37">
        <f>P2_TaskV_Valuation!C19</f>
        <v>0.34</v>
      </c>
      <c r="E19" s="46">
        <f>P2_TaskV_Valuation!D19</f>
        <v>1.7287671232876711</v>
      </c>
      <c r="F19" s="47">
        <f>P2_TaskV_Valuation!O19</f>
        <v>1.3906614919045943E-2</v>
      </c>
      <c r="G19" s="47">
        <f>P2_TaskV_Valuation!P19</f>
        <v>0.44704080289393588</v>
      </c>
      <c r="H19" s="47">
        <f>P2_TaskV_Valuation!Q19</f>
        <v>-0.37970056298403165</v>
      </c>
      <c r="I19" s="36">
        <f>P2_TaskV_Valuation!AB19</f>
        <v>1745.7023264965142</v>
      </c>
      <c r="J19" s="22">
        <f t="shared" si="0"/>
        <v>1978.5092000000002</v>
      </c>
      <c r="K19" s="28">
        <f t="shared" si="1"/>
        <v>0.25313235150280872</v>
      </c>
      <c r="L19" s="28">
        <f t="shared" si="2"/>
        <v>1.6945153577502099</v>
      </c>
      <c r="M19" s="28">
        <f t="shared" si="3"/>
        <v>-2.5813000472810614</v>
      </c>
      <c r="N19" s="28">
        <f t="shared" si="4"/>
        <v>-1.1399170410336605</v>
      </c>
      <c r="O19" s="28">
        <f t="shared" si="5"/>
        <v>331.32309127015139</v>
      </c>
      <c r="P19" s="28">
        <f t="shared" si="6"/>
        <v>116.76627268549043</v>
      </c>
      <c r="Q19" s="28">
        <f t="shared" si="7"/>
        <v>-0.54732690200042233</v>
      </c>
      <c r="R19" s="28">
        <f t="shared" si="8"/>
        <v>62.431580844680184</v>
      </c>
      <c r="S19" s="22">
        <f t="shared" si="9"/>
        <v>1752.5978637941992</v>
      </c>
      <c r="T19" s="22">
        <f t="shared" si="10"/>
        <v>1939.3308</v>
      </c>
      <c r="U19" s="28">
        <f t="shared" si="11"/>
        <v>0.20839221463567148</v>
      </c>
      <c r="V19" s="28">
        <f t="shared" si="12"/>
        <v>1.6497752208830727</v>
      </c>
      <c r="W19" s="28">
        <f t="shared" si="13"/>
        <v>-2.5365599104139243</v>
      </c>
      <c r="X19" s="28">
        <f t="shared" si="14"/>
        <v>-1.0951769041665229</v>
      </c>
      <c r="Y19" s="28">
        <f t="shared" si="15"/>
        <v>347.17116891035414</v>
      </c>
      <c r="Z19" s="28">
        <f t="shared" si="16"/>
        <v>126.33406367436223</v>
      </c>
      <c r="AA19" s="28">
        <f t="shared" si="17"/>
        <v>-0.63235487509325239</v>
      </c>
      <c r="AB19" s="28">
        <f t="shared" si="18"/>
        <v>66.826169677937258</v>
      </c>
      <c r="AC19" s="22">
        <f t="shared" si="19"/>
        <v>1738.5504559989772</v>
      </c>
      <c r="AD19" s="43">
        <f t="shared" si="20"/>
        <v>0.35854980793554464</v>
      </c>
      <c r="AE19" s="22">
        <f t="shared" si="21"/>
        <v>702.37038976109716</v>
      </c>
      <c r="AF19" s="22">
        <f t="shared" si="22"/>
        <v>1043.331936735417</v>
      </c>
      <c r="AG19" s="30">
        <f t="shared" si="23"/>
        <v>0.40234258676317325</v>
      </c>
    </row>
    <row r="20" spans="1:33" x14ac:dyDescent="0.2">
      <c r="A20" s="35">
        <f>P2_TaskV_Valuation!A20</f>
        <v>45926</v>
      </c>
      <c r="B20" s="36">
        <f>P2_TaskV_Valuation!B20</f>
        <v>1941.1</v>
      </c>
      <c r="C20" s="45">
        <f>P2_TaskV_Valuation!N20</f>
        <v>1.9814155910992896E-2</v>
      </c>
      <c r="D20" s="37">
        <f>P2_TaskV_Valuation!C20</f>
        <v>0.33200000000000002</v>
      </c>
      <c r="E20" s="46">
        <f>P2_TaskV_Valuation!D20</f>
        <v>1.726027397260274</v>
      </c>
      <c r="F20" s="47">
        <f>P2_TaskV_Valuation!O20</f>
        <v>1.3814155910992896E-2</v>
      </c>
      <c r="G20" s="47">
        <f>P2_TaskV_Valuation!P20</f>
        <v>0.43617616147104649</v>
      </c>
      <c r="H20" s="47">
        <f>P2_TaskV_Valuation!Q20</f>
        <v>-0.3746719778723972</v>
      </c>
      <c r="I20" s="36">
        <f>P2_TaskV_Valuation!AB20</f>
        <v>1751.9273416021501</v>
      </c>
      <c r="J20" s="22">
        <f t="shared" si="0"/>
        <v>1960.511</v>
      </c>
      <c r="K20" s="28">
        <f t="shared" si="1"/>
        <v>0.22703305504904722</v>
      </c>
      <c r="L20" s="28">
        <f t="shared" si="2"/>
        <v>1.7043192373506122</v>
      </c>
      <c r="M20" s="28">
        <f t="shared" si="3"/>
        <v>-2.6360990669483786</v>
      </c>
      <c r="N20" s="28">
        <f t="shared" si="4"/>
        <v>-1.1588128846468138</v>
      </c>
      <c r="O20" s="28">
        <f t="shared" si="5"/>
        <v>330.55779226314814</v>
      </c>
      <c r="P20" s="28">
        <f t="shared" si="6"/>
        <v>112.17733457259791</v>
      </c>
      <c r="Q20" s="28">
        <f t="shared" si="7"/>
        <v>-0.44847452488082462</v>
      </c>
      <c r="R20" s="28">
        <f t="shared" si="8"/>
        <v>61.290672259490378</v>
      </c>
      <c r="S20" s="22">
        <f t="shared" si="9"/>
        <v>1758.8403709990762</v>
      </c>
      <c r="T20" s="22">
        <f t="shared" si="10"/>
        <v>1921.6889999999999</v>
      </c>
      <c r="U20" s="28">
        <f t="shared" si="11"/>
        <v>0.1811784933526551</v>
      </c>
      <c r="V20" s="28">
        <f t="shared" si="12"/>
        <v>1.6584646756542205</v>
      </c>
      <c r="W20" s="28">
        <f t="shared" si="13"/>
        <v>-2.5902445052519867</v>
      </c>
      <c r="X20" s="28">
        <f t="shared" si="14"/>
        <v>-1.1129583229504216</v>
      </c>
      <c r="Y20" s="28">
        <f t="shared" si="15"/>
        <v>346.66094615898089</v>
      </c>
      <c r="Z20" s="28">
        <f t="shared" si="16"/>
        <v>121.69362900393162</v>
      </c>
      <c r="AA20" s="28">
        <f t="shared" si="17"/>
        <v>-0.5211967035948355</v>
      </c>
      <c r="AB20" s="28">
        <f t="shared" si="18"/>
        <v>65.792858548724595</v>
      </c>
      <c r="AC20" s="22">
        <f t="shared" si="19"/>
        <v>1744.7491680997941</v>
      </c>
      <c r="AD20" s="43">
        <f t="shared" si="20"/>
        <v>0.36296952499309809</v>
      </c>
      <c r="AE20" s="22">
        <f t="shared" si="21"/>
        <v>704.56014496410262</v>
      </c>
      <c r="AF20" s="22">
        <f t="shared" si="22"/>
        <v>1047.3671966380475</v>
      </c>
      <c r="AG20" s="30">
        <f t="shared" si="23"/>
        <v>0.40216287983711546</v>
      </c>
    </row>
    <row r="21" spans="1:33" x14ac:dyDescent="0.2">
      <c r="A21" s="35">
        <f>P2_TaskV_Valuation!A21</f>
        <v>45929</v>
      </c>
      <c r="B21" s="36">
        <f>P2_TaskV_Valuation!B21</f>
        <v>1968.82</v>
      </c>
      <c r="C21" s="45">
        <f>P2_TaskV_Valuation!N21</f>
        <v>1.9780586461683413E-2</v>
      </c>
      <c r="D21" s="37">
        <f>P2_TaskV_Valuation!C21</f>
        <v>0.32700000000000001</v>
      </c>
      <c r="E21" s="46">
        <f>P2_TaskV_Valuation!D21</f>
        <v>1.7178082191780821</v>
      </c>
      <c r="F21" s="47">
        <f>P2_TaskV_Valuation!O21</f>
        <v>1.3780586461683413E-2</v>
      </c>
      <c r="G21" s="47">
        <f>P2_TaskV_Valuation!P21</f>
        <v>0.42858314837204359</v>
      </c>
      <c r="H21" s="47">
        <f>P2_TaskV_Valuation!Q21</f>
        <v>-0.3711239564413451</v>
      </c>
      <c r="I21" s="36">
        <f>P2_TaskV_Valuation!AB21</f>
        <v>1770.530865738215</v>
      </c>
      <c r="J21" s="22">
        <f t="shared" si="0"/>
        <v>1988.5082</v>
      </c>
      <c r="K21" s="28">
        <f t="shared" si="1"/>
        <v>0.25608027625119834</v>
      </c>
      <c r="L21" s="28">
        <f t="shared" si="2"/>
        <v>1.7595388672809165</v>
      </c>
      <c r="M21" s="28">
        <f t="shared" si="3"/>
        <v>-2.7239461089423891</v>
      </c>
      <c r="N21" s="28">
        <f t="shared" si="4"/>
        <v>-1.2204875179126708</v>
      </c>
      <c r="O21" s="28">
        <f t="shared" si="5"/>
        <v>313.80402010400394</v>
      </c>
      <c r="P21" s="28">
        <f t="shared" si="6"/>
        <v>99.848148395712968</v>
      </c>
      <c r="Q21" s="28">
        <f t="shared" si="7"/>
        <v>-0.32989564994483001</v>
      </c>
      <c r="R21" s="28">
        <f t="shared" si="8"/>
        <v>55.955882063472203</v>
      </c>
      <c r="S21" s="22">
        <f t="shared" si="9"/>
        <v>1777.0491885589506</v>
      </c>
      <c r="T21" s="22">
        <f t="shared" si="10"/>
        <v>1949.1317999999999</v>
      </c>
      <c r="U21" s="28">
        <f t="shared" si="11"/>
        <v>0.20941333009934585</v>
      </c>
      <c r="V21" s="28">
        <f t="shared" si="12"/>
        <v>1.7128719211290639</v>
      </c>
      <c r="W21" s="28">
        <f t="shared" si="13"/>
        <v>-2.677279162790537</v>
      </c>
      <c r="X21" s="28">
        <f t="shared" si="14"/>
        <v>-1.1738205717608186</v>
      </c>
      <c r="Y21" s="28">
        <f t="shared" si="15"/>
        <v>329.70318095323933</v>
      </c>
      <c r="Z21" s="28">
        <f t="shared" si="16"/>
        <v>108.7279998774367</v>
      </c>
      <c r="AA21" s="28">
        <f t="shared" si="17"/>
        <v>-0.38581263251914466</v>
      </c>
      <c r="AB21" s="28">
        <f t="shared" si="18"/>
        <v>60.320229849748486</v>
      </c>
      <c r="AC21" s="22">
        <f t="shared" si="19"/>
        <v>1763.7490723083763</v>
      </c>
      <c r="AD21" s="43">
        <f t="shared" si="20"/>
        <v>0.3377687206188052</v>
      </c>
      <c r="AE21" s="22">
        <f t="shared" si="21"/>
        <v>665.00581252871598</v>
      </c>
      <c r="AF21" s="22">
        <f t="shared" si="22"/>
        <v>1105.525053209499</v>
      </c>
      <c r="AG21" s="30">
        <f t="shared" si="23"/>
        <v>0.37559684803994919</v>
      </c>
    </row>
    <row r="22" spans="1:33" x14ac:dyDescent="0.2">
      <c r="A22" s="35">
        <f>P2_TaskV_Valuation!A22</f>
        <v>45930</v>
      </c>
      <c r="B22" s="36">
        <f>P2_TaskV_Valuation!B22</f>
        <v>1964.86</v>
      </c>
      <c r="C22" s="45">
        <f>P2_TaskV_Valuation!N22</f>
        <v>1.973569675848149E-2</v>
      </c>
      <c r="D22" s="37">
        <f>P2_TaskV_Valuation!C22</f>
        <v>0.317</v>
      </c>
      <c r="E22" s="46">
        <f>P2_TaskV_Valuation!D22</f>
        <v>1.715068493150685</v>
      </c>
      <c r="F22" s="47">
        <f>P2_TaskV_Valuation!O22</f>
        <v>1.373569675848149E-2</v>
      </c>
      <c r="G22" s="47">
        <f>P2_TaskV_Valuation!P22</f>
        <v>0.41514517678544594</v>
      </c>
      <c r="H22" s="47">
        <f>P2_TaskV_Valuation!Q22</f>
        <v>-0.36331143947614675</v>
      </c>
      <c r="I22" s="36">
        <f>P2_TaskV_Valuation!AB22</f>
        <v>1784.3707769391583</v>
      </c>
      <c r="J22" s="22">
        <f t="shared" si="0"/>
        <v>1984.5085999999999</v>
      </c>
      <c r="K22" s="28">
        <f t="shared" si="1"/>
        <v>0.24558774039588244</v>
      </c>
      <c r="L22" s="28">
        <f t="shared" si="2"/>
        <v>1.7977122800085104</v>
      </c>
      <c r="M22" s="28">
        <f t="shared" si="3"/>
        <v>-2.821200449589246</v>
      </c>
      <c r="N22" s="28">
        <f t="shared" si="4"/>
        <v>-1.2690759099766182</v>
      </c>
      <c r="O22" s="28">
        <f t="shared" si="5"/>
        <v>305.30837462151726</v>
      </c>
      <c r="P22" s="28">
        <f t="shared" si="6"/>
        <v>90.316806386515267</v>
      </c>
      <c r="Q22" s="28">
        <f t="shared" si="7"/>
        <v>-0.23025281695801492</v>
      </c>
      <c r="R22" s="28">
        <f t="shared" si="8"/>
        <v>52.205347480833609</v>
      </c>
      <c r="S22" s="22">
        <f t="shared" si="9"/>
        <v>1790.6843240318583</v>
      </c>
      <c r="T22" s="22">
        <f t="shared" si="10"/>
        <v>1945.2113999999999</v>
      </c>
      <c r="U22" s="28">
        <f t="shared" si="11"/>
        <v>0.19741021642333192</v>
      </c>
      <c r="V22" s="28">
        <f t="shared" si="12"/>
        <v>1.74953475603596</v>
      </c>
      <c r="W22" s="28">
        <f t="shared" si="13"/>
        <v>-2.7730229256166954</v>
      </c>
      <c r="X22" s="28">
        <f t="shared" si="14"/>
        <v>-1.2208983860040676</v>
      </c>
      <c r="Y22" s="28">
        <f t="shared" si="15"/>
        <v>321.34586724871542</v>
      </c>
      <c r="Z22" s="28">
        <f t="shared" si="16"/>
        <v>98.813331407145739</v>
      </c>
      <c r="AA22" s="28">
        <f t="shared" si="17"/>
        <v>-0.27180461107670917</v>
      </c>
      <c r="AB22" s="28">
        <f t="shared" si="18"/>
        <v>56.564197572717092</v>
      </c>
      <c r="AC22" s="22">
        <f t="shared" si="19"/>
        <v>1777.7873971252257</v>
      </c>
      <c r="AD22" s="43">
        <f t="shared" si="20"/>
        <v>0.32818946150444928</v>
      </c>
      <c r="AE22" s="22">
        <f t="shared" si="21"/>
        <v>644.84634533163216</v>
      </c>
      <c r="AF22" s="22">
        <f t="shared" si="22"/>
        <v>1139.5244316075261</v>
      </c>
      <c r="AG22" s="30">
        <f t="shared" si="23"/>
        <v>0.36138584741775309</v>
      </c>
    </row>
    <row r="23" spans="1:33" x14ac:dyDescent="0.2">
      <c r="A23" s="35">
        <f>P2_TaskV_Valuation!A23</f>
        <v>45931</v>
      </c>
      <c r="B23" s="36">
        <f>P2_TaskV_Valuation!B23</f>
        <v>1931.69</v>
      </c>
      <c r="C23" s="45">
        <f>P2_TaskV_Valuation!N23</f>
        <v>1.9609913545896585E-2</v>
      </c>
      <c r="D23" s="37">
        <f>P2_TaskV_Valuation!C23</f>
        <v>0.314</v>
      </c>
      <c r="E23" s="46">
        <f>P2_TaskV_Valuation!D23</f>
        <v>1.7123287671232876</v>
      </c>
      <c r="F23" s="47">
        <f>P2_TaskV_Valuation!O23</f>
        <v>1.3609913545896584E-2</v>
      </c>
      <c r="G23" s="47">
        <f>P2_TaskV_Valuation!P23</f>
        <v>0.41088777923331771</v>
      </c>
      <c r="H23" s="47">
        <f>P2_TaskV_Valuation!Q23</f>
        <v>-0.36196282256991574</v>
      </c>
      <c r="I23" s="36">
        <f>P2_TaskV_Valuation!AB23</f>
        <v>1778.2835085632853</v>
      </c>
      <c r="J23" s="22">
        <f t="shared" si="0"/>
        <v>1951.0069000000001</v>
      </c>
      <c r="K23" s="28">
        <f t="shared" si="1"/>
        <v>0.20180071532355703</v>
      </c>
      <c r="L23" s="28">
        <f t="shared" si="2"/>
        <v>1.7700075322623079</v>
      </c>
      <c r="M23" s="28">
        <f t="shared" si="3"/>
        <v>-2.8138909913959753</v>
      </c>
      <c r="N23" s="28">
        <f t="shared" si="4"/>
        <v>-1.2456841744572247</v>
      </c>
      <c r="O23" s="28">
        <f t="shared" si="5"/>
        <v>316.01237280341434</v>
      </c>
      <c r="P23" s="28">
        <f t="shared" si="6"/>
        <v>94.27804928122481</v>
      </c>
      <c r="Q23" s="28">
        <f t="shared" si="7"/>
        <v>-0.23449036392443801</v>
      </c>
      <c r="R23" s="28">
        <f t="shared" si="8"/>
        <v>54.573169217333287</v>
      </c>
      <c r="S23" s="22">
        <f t="shared" si="9"/>
        <v>1784.8720616321136</v>
      </c>
      <c r="T23" s="22">
        <f t="shared" si="10"/>
        <v>1912.3731</v>
      </c>
      <c r="U23" s="28">
        <f t="shared" si="11"/>
        <v>0.1531240018326151</v>
      </c>
      <c r="V23" s="28">
        <f t="shared" si="12"/>
        <v>1.7213308187713661</v>
      </c>
      <c r="W23" s="28">
        <f t="shared" si="13"/>
        <v>-2.7652142779050335</v>
      </c>
      <c r="X23" s="28">
        <f t="shared" si="14"/>
        <v>-1.1970074609662829</v>
      </c>
      <c r="Y23" s="28">
        <f t="shared" si="15"/>
        <v>332.43780594034729</v>
      </c>
      <c r="Z23" s="28">
        <f t="shared" si="16"/>
        <v>103.14477998375091</v>
      </c>
      <c r="AA23" s="28">
        <f t="shared" si="17"/>
        <v>-0.27719574746909403</v>
      </c>
      <c r="AB23" s="28">
        <f t="shared" si="18"/>
        <v>59.120659987537735</v>
      </c>
      <c r="AC23" s="22">
        <f t="shared" si="19"/>
        <v>1771.4151347758384</v>
      </c>
      <c r="AD23" s="43">
        <f t="shared" si="20"/>
        <v>0.3483200424569996</v>
      </c>
      <c r="AE23" s="22">
        <f t="shared" si="21"/>
        <v>672.84634281376157</v>
      </c>
      <c r="AF23" s="22">
        <f t="shared" si="22"/>
        <v>1105.4371657495237</v>
      </c>
      <c r="AG23" s="30">
        <f t="shared" si="23"/>
        <v>0.37836843201530279</v>
      </c>
    </row>
    <row r="24" spans="1:33" x14ac:dyDescent="0.2">
      <c r="A24" s="35">
        <f>P2_TaskV_Valuation!A24</f>
        <v>45932</v>
      </c>
      <c r="B24" s="36">
        <f>P2_TaskV_Valuation!B24</f>
        <v>1966.35</v>
      </c>
      <c r="C24" s="45">
        <f>P2_TaskV_Valuation!N24</f>
        <v>1.9747178972869331E-2</v>
      </c>
      <c r="D24" s="37">
        <f>P2_TaskV_Valuation!C24</f>
        <v>0.312</v>
      </c>
      <c r="E24" s="46">
        <f>P2_TaskV_Valuation!D24</f>
        <v>1.7095890410958905</v>
      </c>
      <c r="F24" s="47">
        <f>P2_TaskV_Valuation!O24</f>
        <v>1.3747178972869331E-2</v>
      </c>
      <c r="G24" s="47">
        <f>P2_TaskV_Valuation!P24</f>
        <v>0.4079439123414374</v>
      </c>
      <c r="H24" s="47">
        <f>P2_TaskV_Valuation!Q24</f>
        <v>-0.3587773363240741</v>
      </c>
      <c r="I24" s="36">
        <f>P2_TaskV_Valuation!AB24</f>
        <v>1792.9430606224357</v>
      </c>
      <c r="J24" s="22">
        <f t="shared" si="0"/>
        <v>1986.0135</v>
      </c>
      <c r="K24" s="28">
        <f t="shared" si="1"/>
        <v>0.2443799844371588</v>
      </c>
      <c r="L24" s="28">
        <f t="shared" si="2"/>
        <v>1.8239035338686422</v>
      </c>
      <c r="M24" s="28">
        <f t="shared" si="3"/>
        <v>-2.8802613190962161</v>
      </c>
      <c r="N24" s="28">
        <f t="shared" si="4"/>
        <v>-1.3007377696647326</v>
      </c>
      <c r="O24" s="28">
        <f t="shared" si="5"/>
        <v>299.30032413008234</v>
      </c>
      <c r="P24" s="28">
        <f t="shared" si="6"/>
        <v>84.583436774123101</v>
      </c>
      <c r="Q24" s="28">
        <f t="shared" si="7"/>
        <v>-0.1845725286654063</v>
      </c>
      <c r="R24" s="28">
        <f t="shared" si="8"/>
        <v>49.742488108055554</v>
      </c>
      <c r="S24" s="22">
        <f t="shared" si="9"/>
        <v>1799.0973711742527</v>
      </c>
      <c r="T24" s="22">
        <f t="shared" si="10"/>
        <v>1946.6864999999998</v>
      </c>
      <c r="U24" s="28">
        <f t="shared" si="11"/>
        <v>0.19535200264457916</v>
      </c>
      <c r="V24" s="28">
        <f t="shared" si="12"/>
        <v>1.7748755520760628</v>
      </c>
      <c r="W24" s="28">
        <f t="shared" si="13"/>
        <v>-2.8312333373036371</v>
      </c>
      <c r="X24" s="28">
        <f t="shared" si="14"/>
        <v>-1.2517097878721533</v>
      </c>
      <c r="Y24" s="28">
        <f t="shared" si="15"/>
        <v>315.37524205061345</v>
      </c>
      <c r="Z24" s="28">
        <f t="shared" si="16"/>
        <v>92.808141479221547</v>
      </c>
      <c r="AA24" s="28">
        <f t="shared" si="17"/>
        <v>-0.2190968035499814</v>
      </c>
      <c r="AB24" s="28">
        <f t="shared" si="18"/>
        <v>54.063884779884958</v>
      </c>
      <c r="AC24" s="22">
        <f t="shared" si="19"/>
        <v>1786.51674552244</v>
      </c>
      <c r="AD24" s="43">
        <f t="shared" si="20"/>
        <v>0.31989792386433302</v>
      </c>
      <c r="AE24" s="22">
        <f t="shared" si="21"/>
        <v>629.03128259063124</v>
      </c>
      <c r="AF24" s="22">
        <f t="shared" si="22"/>
        <v>1163.9117780318045</v>
      </c>
      <c r="AG24" s="30">
        <f t="shared" si="23"/>
        <v>0.35083728892776861</v>
      </c>
    </row>
    <row r="25" spans="1:33" x14ac:dyDescent="0.2">
      <c r="A25" s="35">
        <f>P2_TaskV_Valuation!A25</f>
        <v>45933</v>
      </c>
      <c r="B25" s="36">
        <f>P2_TaskV_Valuation!B25</f>
        <v>1943.08</v>
      </c>
      <c r="C25" s="45">
        <f>P2_TaskV_Valuation!N25</f>
        <v>1.9767137603873094E-2</v>
      </c>
      <c r="D25" s="37">
        <f>P2_TaskV_Valuation!C25</f>
        <v>0.30599999999999999</v>
      </c>
      <c r="E25" s="46">
        <f>P2_TaskV_Valuation!D25</f>
        <v>1.7068493150684931</v>
      </c>
      <c r="F25" s="47">
        <f>P2_TaskV_Valuation!O25</f>
        <v>1.3767137603873094E-2</v>
      </c>
      <c r="G25" s="47">
        <f>P2_TaskV_Valuation!P25</f>
        <v>0.39977811654185558</v>
      </c>
      <c r="H25" s="47">
        <f>P2_TaskV_Valuation!Q25</f>
        <v>-0.35297174586832952</v>
      </c>
      <c r="I25" s="36">
        <f>P2_TaskV_Valuation!AB25</f>
        <v>1794.4817883885855</v>
      </c>
      <c r="J25" s="22">
        <f t="shared" si="0"/>
        <v>1962.5108</v>
      </c>
      <c r="K25" s="28">
        <f t="shared" si="1"/>
        <v>0.21133521423678958</v>
      </c>
      <c r="L25" s="28">
        <f t="shared" si="2"/>
        <v>1.8231218271817504</v>
      </c>
      <c r="M25" s="28">
        <f t="shared" si="3"/>
        <v>-2.917572966554463</v>
      </c>
      <c r="N25" s="28">
        <f t="shared" si="4"/>
        <v>-1.305786353609502</v>
      </c>
      <c r="O25" s="28">
        <f t="shared" si="5"/>
        <v>302.64089112574743</v>
      </c>
      <c r="P25" s="28">
        <f t="shared" si="6"/>
        <v>83.183947180334343</v>
      </c>
      <c r="Q25" s="28">
        <f t="shared" si="7"/>
        <v>-0.15890980691892809</v>
      </c>
      <c r="R25" s="28">
        <f t="shared" si="8"/>
        <v>49.590399806725017</v>
      </c>
      <c r="S25" s="22">
        <f t="shared" si="9"/>
        <v>1800.7133529497758</v>
      </c>
      <c r="T25" s="22">
        <f t="shared" si="10"/>
        <v>1923.6491999999998</v>
      </c>
      <c r="U25" s="28">
        <f t="shared" si="11"/>
        <v>0.16130579571914141</v>
      </c>
      <c r="V25" s="28">
        <f t="shared" si="12"/>
        <v>1.7730924086641024</v>
      </c>
      <c r="W25" s="28">
        <f t="shared" si="13"/>
        <v>-2.8675435480368145</v>
      </c>
      <c r="X25" s="28">
        <f t="shared" si="14"/>
        <v>-1.255756935091854</v>
      </c>
      <c r="Y25" s="28">
        <f t="shared" si="15"/>
        <v>319.03001186099209</v>
      </c>
      <c r="Z25" s="28">
        <f t="shared" si="16"/>
        <v>91.46904306734713</v>
      </c>
      <c r="AA25" s="28">
        <f t="shared" si="17"/>
        <v>-0.18963009832844202</v>
      </c>
      <c r="AB25" s="28">
        <f t="shared" si="18"/>
        <v>54.018767854519652</v>
      </c>
      <c r="AC25" s="22">
        <f t="shared" si="19"/>
        <v>1787.9691687235588</v>
      </c>
      <c r="AD25" s="43">
        <f t="shared" si="20"/>
        <v>0.32793771296644836</v>
      </c>
      <c r="AE25" s="22">
        <f t="shared" si="21"/>
        <v>637.2092113108464</v>
      </c>
      <c r="AF25" s="22">
        <f t="shared" si="22"/>
        <v>1157.2725770777392</v>
      </c>
      <c r="AG25" s="30">
        <f t="shared" si="23"/>
        <v>0.3550937186623942</v>
      </c>
    </row>
    <row r="26" spans="1:33" x14ac:dyDescent="0.2">
      <c r="A26" s="35">
        <f>P2_TaskV_Valuation!A26</f>
        <v>45936</v>
      </c>
      <c r="B26" s="36">
        <f>P2_TaskV_Valuation!B26</f>
        <v>1870.31</v>
      </c>
      <c r="C26" s="45">
        <f>P2_TaskV_Valuation!N26</f>
        <v>1.9638653101202795E-2</v>
      </c>
      <c r="D26" s="37">
        <f>P2_TaskV_Valuation!C26</f>
        <v>0.33200000000000002</v>
      </c>
      <c r="E26" s="46">
        <f>P2_TaskV_Valuation!D26</f>
        <v>1.6986301369863013</v>
      </c>
      <c r="F26" s="47">
        <f>P2_TaskV_Valuation!O26</f>
        <v>1.3638653101202795E-2</v>
      </c>
      <c r="G26" s="47">
        <f>P2_TaskV_Valuation!P26</f>
        <v>0.43270059881999018</v>
      </c>
      <c r="H26" s="47">
        <f>P2_TaskV_Valuation!Q26</f>
        <v>-0.37626421558641682</v>
      </c>
      <c r="I26" s="36">
        <f>P2_TaskV_Valuation!AB26</f>
        <v>1729.5662873355277</v>
      </c>
      <c r="J26" s="22">
        <f t="shared" si="0"/>
        <v>1889.0130999999999</v>
      </c>
      <c r="K26" s="28">
        <f t="shared" si="1"/>
        <v>0.13794590134503021</v>
      </c>
      <c r="L26" s="28">
        <f t="shared" si="2"/>
        <v>1.6270980267354904</v>
      </c>
      <c r="M26" s="28">
        <f t="shared" si="3"/>
        <v>-2.5764684572835233</v>
      </c>
      <c r="N26" s="28">
        <f t="shared" si="4"/>
        <v>-1.0873163318930632</v>
      </c>
      <c r="O26" s="28">
        <f t="shared" si="5"/>
        <v>359.05278669042229</v>
      </c>
      <c r="P26" s="28">
        <f t="shared" si="6"/>
        <v>127.73299706809676</v>
      </c>
      <c r="Q26" s="28">
        <f t="shared" si="7"/>
        <v>-0.54384311197932389</v>
      </c>
      <c r="R26" s="28">
        <f t="shared" si="8"/>
        <v>68.927560685508567</v>
      </c>
      <c r="S26" s="22">
        <f t="shared" si="9"/>
        <v>1737.1785216960445</v>
      </c>
      <c r="T26" s="22">
        <f t="shared" si="10"/>
        <v>1851.6069</v>
      </c>
      <c r="U26" s="28">
        <f t="shared" si="11"/>
        <v>9.1723023999325248E-2</v>
      </c>
      <c r="V26" s="28">
        <f t="shared" si="12"/>
        <v>1.5808751493897857</v>
      </c>
      <c r="W26" s="28">
        <f t="shared" si="13"/>
        <v>-2.5302455799378185</v>
      </c>
      <c r="X26" s="28">
        <f t="shared" si="14"/>
        <v>-1.041093454547358</v>
      </c>
      <c r="Y26" s="28">
        <f t="shared" si="15"/>
        <v>375.87268889514075</v>
      </c>
      <c r="Z26" s="28">
        <f t="shared" si="16"/>
        <v>138.27917052792145</v>
      </c>
      <c r="AA26" s="28">
        <f t="shared" si="17"/>
        <v>-0.63121343932359331</v>
      </c>
      <c r="AB26" s="28">
        <f t="shared" si="18"/>
        <v>73.798356862543244</v>
      </c>
      <c r="AC26" s="22">
        <f t="shared" si="19"/>
        <v>1721.6741817318411</v>
      </c>
      <c r="AD26" s="43">
        <f t="shared" si="20"/>
        <v>0.41448583294222302</v>
      </c>
      <c r="AE26" s="22">
        <f t="shared" si="21"/>
        <v>775.21699821016909</v>
      </c>
      <c r="AF26" s="22">
        <f t="shared" si="22"/>
        <v>954.34928912535861</v>
      </c>
      <c r="AG26" s="30">
        <f t="shared" si="23"/>
        <v>0.44821467895539563</v>
      </c>
    </row>
    <row r="27" spans="1:33" x14ac:dyDescent="0.2">
      <c r="A27" s="35">
        <f>P2_TaskV_Valuation!A27</f>
        <v>45937</v>
      </c>
      <c r="B27" s="36">
        <f>P2_TaskV_Valuation!B27</f>
        <v>1865.85</v>
      </c>
      <c r="C27" s="45">
        <f>P2_TaskV_Valuation!N27</f>
        <v>1.9660550888402958E-2</v>
      </c>
      <c r="D27" s="37">
        <f>P2_TaskV_Valuation!C27</f>
        <v>0.32200000000000001</v>
      </c>
      <c r="E27" s="46">
        <f>P2_TaskV_Valuation!D27</f>
        <v>1.6958904109589041</v>
      </c>
      <c r="F27" s="47">
        <f>P2_TaskV_Valuation!O27</f>
        <v>1.3660550888402958E-2</v>
      </c>
      <c r="G27" s="47">
        <f>P2_TaskV_Valuation!P27</f>
        <v>0.41932887018408715</v>
      </c>
      <c r="H27" s="47">
        <f>P2_TaskV_Valuation!Q27</f>
        <v>-0.36824822645342625</v>
      </c>
      <c r="I27" s="36">
        <f>P2_TaskV_Valuation!AB27</f>
        <v>1743.8315274137344</v>
      </c>
      <c r="J27" s="22">
        <f t="shared" si="0"/>
        <v>1884.5084999999999</v>
      </c>
      <c r="K27" s="28">
        <f t="shared" si="1"/>
        <v>0.1230657253756566</v>
      </c>
      <c r="L27" s="28">
        <f t="shared" si="2"/>
        <v>1.6597045361201634</v>
      </c>
      <c r="M27" s="28">
        <f t="shared" si="3"/>
        <v>-2.6665198319885142</v>
      </c>
      <c r="N27" s="28">
        <f t="shared" si="4"/>
        <v>-1.1298810212440071</v>
      </c>
      <c r="O27" s="28">
        <f t="shared" si="5"/>
        <v>351.17840314683701</v>
      </c>
      <c r="P27" s="28">
        <f t="shared" si="6"/>
        <v>117.34244260663151</v>
      </c>
      <c r="Q27" s="28">
        <f t="shared" si="7"/>
        <v>-0.39386989446700671</v>
      </c>
      <c r="R27" s="28">
        <f t="shared" si="8"/>
        <v>65.375204869299409</v>
      </c>
      <c r="S27" s="22">
        <f t="shared" si="9"/>
        <v>1751.3036482994385</v>
      </c>
      <c r="T27" s="22">
        <f t="shared" si="10"/>
        <v>1847.1914999999999</v>
      </c>
      <c r="U27" s="28">
        <f t="shared" si="11"/>
        <v>7.5368874219452708E-2</v>
      </c>
      <c r="V27" s="28">
        <f t="shared" si="12"/>
        <v>1.6120076849639591</v>
      </c>
      <c r="W27" s="28">
        <f t="shared" si="13"/>
        <v>-2.6188229808323098</v>
      </c>
      <c r="X27" s="28">
        <f t="shared" si="14"/>
        <v>-1.0821841700878032</v>
      </c>
      <c r="Y27" s="28">
        <f t="shared" si="15"/>
        <v>368.18724973236476</v>
      </c>
      <c r="Z27" s="28">
        <f t="shared" si="16"/>
        <v>127.56676731573354</v>
      </c>
      <c r="AA27" s="28">
        <f t="shared" si="17"/>
        <v>-0.46112181907305105</v>
      </c>
      <c r="AB27" s="28">
        <f t="shared" si="18"/>
        <v>70.317705604161588</v>
      </c>
      <c r="AC27" s="22">
        <f t="shared" si="19"/>
        <v>1736.0695709308682</v>
      </c>
      <c r="AD27" s="43">
        <f t="shared" si="20"/>
        <v>0.40823424628373922</v>
      </c>
      <c r="AE27" s="22">
        <f t="shared" si="21"/>
        <v>761.70386842851474</v>
      </c>
      <c r="AF27" s="22">
        <f t="shared" si="22"/>
        <v>982.12765898521968</v>
      </c>
      <c r="AG27" s="30">
        <f t="shared" si="23"/>
        <v>0.43679900062260774</v>
      </c>
    </row>
    <row r="28" spans="1:33" x14ac:dyDescent="0.2">
      <c r="A28" s="35">
        <f>P2_TaskV_Valuation!A28</f>
        <v>45938</v>
      </c>
      <c r="B28" s="36">
        <f>P2_TaskV_Valuation!B28</f>
        <v>1914.36</v>
      </c>
      <c r="C28" s="45">
        <f>P2_TaskV_Valuation!N28</f>
        <v>1.9469826396949927E-2</v>
      </c>
      <c r="D28" s="37">
        <f>P2_TaskV_Valuation!C28</f>
        <v>0.32800000000000001</v>
      </c>
      <c r="E28" s="46">
        <f>P2_TaskV_Valuation!D28</f>
        <v>1.6931506849315068</v>
      </c>
      <c r="F28" s="47">
        <f>P2_TaskV_Valuation!O28</f>
        <v>1.3469826396949927E-2</v>
      </c>
      <c r="G28" s="47">
        <f>P2_TaskV_Valuation!P28</f>
        <v>0.42679728594225058</v>
      </c>
      <c r="H28" s="47">
        <f>P2_TaskV_Valuation!Q28</f>
        <v>-0.37479712227701212</v>
      </c>
      <c r="I28" s="36">
        <f>P2_TaskV_Valuation!AB28</f>
        <v>1754.4175846786454</v>
      </c>
      <c r="J28" s="22">
        <f t="shared" si="0"/>
        <v>1933.5036</v>
      </c>
      <c r="K28" s="28">
        <f t="shared" si="1"/>
        <v>0.18760878637959855</v>
      </c>
      <c r="L28" s="28">
        <f t="shared" si="2"/>
        <v>1.6973583504330596</v>
      </c>
      <c r="M28" s="28">
        <f t="shared" si="3"/>
        <v>-2.6734381317356091</v>
      </c>
      <c r="N28" s="28">
        <f t="shared" si="4"/>
        <v>-1.1636885676821478</v>
      </c>
      <c r="O28" s="28">
        <f t="shared" si="5"/>
        <v>335.9167206669573</v>
      </c>
      <c r="P28" s="28">
        <f t="shared" si="6"/>
        <v>111.50015648196367</v>
      </c>
      <c r="Q28" s="28">
        <f t="shared" si="7"/>
        <v>-0.39178940224106507</v>
      </c>
      <c r="R28" s="28">
        <f t="shared" si="8"/>
        <v>61.768386476628294</v>
      </c>
      <c r="S28" s="22">
        <f t="shared" si="9"/>
        <v>1761.4838385955677</v>
      </c>
      <c r="T28" s="22">
        <f t="shared" si="10"/>
        <v>1895.2163999999998</v>
      </c>
      <c r="U28" s="28">
        <f t="shared" si="11"/>
        <v>0.14074657013444664</v>
      </c>
      <c r="V28" s="28">
        <f t="shared" si="12"/>
        <v>1.6504961341879081</v>
      </c>
      <c r="W28" s="28">
        <f t="shared" si="13"/>
        <v>-2.6265759154904575</v>
      </c>
      <c r="X28" s="28">
        <f t="shared" si="14"/>
        <v>-1.1168263514369963</v>
      </c>
      <c r="Y28" s="28">
        <f t="shared" si="15"/>
        <v>352.39462690549226</v>
      </c>
      <c r="Z28" s="28">
        <f t="shared" si="16"/>
        <v>121.18082740447181</v>
      </c>
      <c r="AA28" s="28">
        <f t="shared" si="17"/>
        <v>-0.45747300995491713</v>
      </c>
      <c r="AB28" s="28">
        <f t="shared" si="18"/>
        <v>66.430391025968433</v>
      </c>
      <c r="AC28" s="22">
        <f t="shared" si="19"/>
        <v>1747.0754795160053</v>
      </c>
      <c r="AD28" s="43">
        <f t="shared" si="20"/>
        <v>0.3763231335684612</v>
      </c>
      <c r="AE28" s="22">
        <f t="shared" si="21"/>
        <v>720.41795397811939</v>
      </c>
      <c r="AF28" s="22">
        <f t="shared" si="22"/>
        <v>1033.999630700526</v>
      </c>
      <c r="AG28" s="30">
        <f t="shared" si="23"/>
        <v>0.41063083285845969</v>
      </c>
    </row>
    <row r="29" spans="1:33" x14ac:dyDescent="0.2">
      <c r="A29" s="35">
        <f>P2_TaskV_Valuation!A29</f>
        <v>45939</v>
      </c>
      <c r="B29" s="36">
        <f>P2_TaskV_Valuation!B29</f>
        <v>1885.16</v>
      </c>
      <c r="C29" s="45">
        <f>P2_TaskV_Valuation!N29</f>
        <v>1.9536661919206375E-2</v>
      </c>
      <c r="D29" s="37">
        <f>P2_TaskV_Valuation!C29</f>
        <v>0.32300000000000001</v>
      </c>
      <c r="E29" s="46">
        <f>P2_TaskV_Valuation!D29</f>
        <v>1.6904109589041096</v>
      </c>
      <c r="F29" s="47">
        <f>P2_TaskV_Valuation!O29</f>
        <v>1.3536661919206374E-2</v>
      </c>
      <c r="G29" s="47">
        <f>P2_TaskV_Valuation!P29</f>
        <v>0.41995105063746047</v>
      </c>
      <c r="H29" s="47">
        <f>P2_TaskV_Valuation!Q29</f>
        <v>-0.37025024758977487</v>
      </c>
      <c r="I29" s="36">
        <f>P2_TaskV_Valuation!AB29</f>
        <v>1751.1936170625668</v>
      </c>
      <c r="J29" s="22">
        <f t="shared" si="0"/>
        <v>1904.0116</v>
      </c>
      <c r="K29" s="28">
        <f t="shared" si="1"/>
        <v>0.14734529715946013</v>
      </c>
      <c r="L29" s="28">
        <f t="shared" si="2"/>
        <v>1.6817074934497613</v>
      </c>
      <c r="M29" s="28">
        <f t="shared" si="3"/>
        <v>-2.6871415494133535</v>
      </c>
      <c r="N29" s="28">
        <f t="shared" si="4"/>
        <v>-1.1527793531230519</v>
      </c>
      <c r="O29" s="28">
        <f t="shared" si="5"/>
        <v>343.37294788187239</v>
      </c>
      <c r="P29" s="28">
        <f t="shared" si="6"/>
        <v>113.02049289064881</v>
      </c>
      <c r="Q29" s="28">
        <f t="shared" si="7"/>
        <v>-0.36890997489321453</v>
      </c>
      <c r="R29" s="28">
        <f t="shared" si="8"/>
        <v>63.173759865381953</v>
      </c>
      <c r="S29" s="22">
        <f t="shared" si="9"/>
        <v>1758.4656044885282</v>
      </c>
      <c r="T29" s="22">
        <f t="shared" si="10"/>
        <v>1866.3084000000001</v>
      </c>
      <c r="U29" s="28">
        <f t="shared" si="11"/>
        <v>9.9719111497322405E-2</v>
      </c>
      <c r="V29" s="28">
        <f t="shared" si="12"/>
        <v>1.6340813077876237</v>
      </c>
      <c r="W29" s="28">
        <f t="shared" si="13"/>
        <v>-2.6395153637512156</v>
      </c>
      <c r="X29" s="28">
        <f t="shared" si="14"/>
        <v>-1.1051531674609141</v>
      </c>
      <c r="Y29" s="28">
        <f t="shared" si="15"/>
        <v>360.19863267846881</v>
      </c>
      <c r="Z29" s="28">
        <f t="shared" si="16"/>
        <v>122.95396425358884</v>
      </c>
      <c r="AA29" s="28">
        <f t="shared" si="17"/>
        <v>-0.43213828481646877</v>
      </c>
      <c r="AB29" s="28">
        <f t="shared" si="18"/>
        <v>68.006745073407316</v>
      </c>
      <c r="AC29" s="22">
        <f t="shared" si="19"/>
        <v>1743.6359196076396</v>
      </c>
      <c r="AD29" s="43">
        <f t="shared" si="20"/>
        <v>0.39332695582572924</v>
      </c>
      <c r="AE29" s="22">
        <f t="shared" si="21"/>
        <v>741.48424404443176</v>
      </c>
      <c r="AF29" s="22">
        <f t="shared" si="22"/>
        <v>1009.709373018135</v>
      </c>
      <c r="AG29" s="30">
        <f t="shared" si="23"/>
        <v>0.42341648394549852</v>
      </c>
    </row>
    <row r="30" spans="1:33" x14ac:dyDescent="0.2">
      <c r="A30" s="35">
        <f>P2_TaskV_Valuation!A30</f>
        <v>45940</v>
      </c>
      <c r="B30" s="36">
        <f>P2_TaskV_Valuation!B30</f>
        <v>1863.37</v>
      </c>
      <c r="C30" s="45">
        <f>P2_TaskV_Valuation!N30</f>
        <v>1.9417520268502443E-2</v>
      </c>
      <c r="D30" s="37">
        <f>P2_TaskV_Valuation!C30</f>
        <v>0.317</v>
      </c>
      <c r="E30" s="46">
        <f>P2_TaskV_Valuation!D30</f>
        <v>1.6876712328767123</v>
      </c>
      <c r="F30" s="47">
        <f>P2_TaskV_Valuation!O30</f>
        <v>1.3417520268502443E-2</v>
      </c>
      <c r="G30" s="47">
        <f>P2_TaskV_Valuation!P30</f>
        <v>0.4118159716676224</v>
      </c>
      <c r="H30" s="47">
        <f>P2_TaskV_Valuation!Q30</f>
        <v>-0.3664777212580238</v>
      </c>
      <c r="I30" s="36">
        <f>P2_TaskV_Valuation!AB30</f>
        <v>1752.5342856717837</v>
      </c>
      <c r="J30" s="22">
        <f t="shared" si="0"/>
        <v>1882.0037</v>
      </c>
      <c r="K30" s="28">
        <f t="shared" si="1"/>
        <v>0.11323112758369444</v>
      </c>
      <c r="L30" s="28">
        <f t="shared" si="2"/>
        <v>1.6779033615945096</v>
      </c>
      <c r="M30" s="28">
        <f t="shared" si="3"/>
        <v>-2.7207864100188988</v>
      </c>
      <c r="N30" s="28">
        <f t="shared" si="4"/>
        <v>-1.1561141760080829</v>
      </c>
      <c r="O30" s="28">
        <f t="shared" si="5"/>
        <v>347.39378935815535</v>
      </c>
      <c r="P30" s="28">
        <f t="shared" si="6"/>
        <v>111.88482780038356</v>
      </c>
      <c r="Q30" s="28">
        <f t="shared" si="7"/>
        <v>-0.32454610388820671</v>
      </c>
      <c r="R30" s="28">
        <f t="shared" si="8"/>
        <v>63.383516561829325</v>
      </c>
      <c r="S30" s="22">
        <f t="shared" si="9"/>
        <v>1759.9285920645766</v>
      </c>
      <c r="T30" s="22">
        <f t="shared" si="10"/>
        <v>1844.7362999999998</v>
      </c>
      <c r="U30" s="28">
        <f t="shared" si="11"/>
        <v>6.4664126586432974E-2</v>
      </c>
      <c r="V30" s="28">
        <f t="shared" si="12"/>
        <v>1.629336360597248</v>
      </c>
      <c r="W30" s="28">
        <f t="shared" si="13"/>
        <v>-2.6722194090216367</v>
      </c>
      <c r="X30" s="28">
        <f t="shared" si="14"/>
        <v>-1.1075471750108212</v>
      </c>
      <c r="Y30" s="28">
        <f t="shared" si="15"/>
        <v>364.53131269702976</v>
      </c>
      <c r="Z30" s="28">
        <f t="shared" si="16"/>
        <v>121.93625776291547</v>
      </c>
      <c r="AA30" s="28">
        <f t="shared" si="17"/>
        <v>-0.3819252367281063</v>
      </c>
      <c r="AB30" s="28">
        <f t="shared" si="18"/>
        <v>68.358962206910178</v>
      </c>
      <c r="AC30" s="22">
        <f t="shared" si="19"/>
        <v>1744.8443373241239</v>
      </c>
      <c r="AD30" s="43">
        <f t="shared" si="20"/>
        <v>0.4047573681140274</v>
      </c>
      <c r="AE30" s="22">
        <f t="shared" si="21"/>
        <v>754.21273702263522</v>
      </c>
      <c r="AF30" s="22">
        <f t="shared" si="22"/>
        <v>998.32154864914844</v>
      </c>
      <c r="AG30" s="30">
        <f t="shared" si="23"/>
        <v>0.4303554818806466</v>
      </c>
    </row>
    <row r="31" spans="1:33" x14ac:dyDescent="0.2">
      <c r="A31" s="35">
        <f>P2_TaskV_Valuation!A31</f>
        <v>45943</v>
      </c>
      <c r="B31" s="36">
        <f>P2_TaskV_Valuation!B31</f>
        <v>1860.9</v>
      </c>
      <c r="C31" s="45">
        <f>P2_TaskV_Valuation!N31</f>
        <v>1.9162848573849981E-2</v>
      </c>
      <c r="D31" s="37">
        <f>P2_TaskV_Valuation!C31</f>
        <v>0.307</v>
      </c>
      <c r="E31" s="46">
        <f>P2_TaskV_Valuation!D31</f>
        <v>1.6794520547945206</v>
      </c>
      <c r="F31" s="47">
        <f>P2_TaskV_Valuation!O31</f>
        <v>1.3162848573849981E-2</v>
      </c>
      <c r="G31" s="47">
        <f>P2_TaskV_Valuation!P31</f>
        <v>0.39785258163335924</v>
      </c>
      <c r="H31" s="47">
        <f>P2_TaskV_Valuation!Q31</f>
        <v>-0.36033964738246582</v>
      </c>
      <c r="I31" s="36">
        <f>P2_TaskV_Valuation!AB31</f>
        <v>1769.0666808621093</v>
      </c>
      <c r="J31" s="22">
        <f t="shared" si="0"/>
        <v>1879.509</v>
      </c>
      <c r="K31" s="28">
        <f t="shared" si="1"/>
        <v>9.8310543161883562E-2</v>
      </c>
      <c r="L31" s="28">
        <f t="shared" si="2"/>
        <v>1.7178979133007053</v>
      </c>
      <c r="M31" s="28">
        <f t="shared" si="3"/>
        <v>-2.8285042381247458</v>
      </c>
      <c r="N31" s="28">
        <f t="shared" si="4"/>
        <v>-1.2089168679859237</v>
      </c>
      <c r="O31" s="28">
        <f t="shared" si="5"/>
        <v>338.87107195026579</v>
      </c>
      <c r="P31" s="28">
        <f t="shared" si="6"/>
        <v>101.06646571236335</v>
      </c>
      <c r="Q31" s="28">
        <f t="shared" si="7"/>
        <v>-0.21878540422856241</v>
      </c>
      <c r="R31" s="28">
        <f t="shared" si="8"/>
        <v>59.118570348044344</v>
      </c>
      <c r="S31" s="22">
        <f t="shared" si="9"/>
        <v>1776.254736301099</v>
      </c>
      <c r="T31" s="22">
        <f t="shared" si="10"/>
        <v>1842.2910000000002</v>
      </c>
      <c r="U31" s="28">
        <f t="shared" si="11"/>
        <v>4.8038991260528519E-2</v>
      </c>
      <c r="V31" s="28">
        <f t="shared" si="12"/>
        <v>1.6676263613993507</v>
      </c>
      <c r="W31" s="28">
        <f t="shared" si="13"/>
        <v>-2.7782326862233906</v>
      </c>
      <c r="X31" s="28">
        <f t="shared" si="14"/>
        <v>-1.1586453160845689</v>
      </c>
      <c r="Y31" s="28">
        <f t="shared" si="15"/>
        <v>356.2177463179753</v>
      </c>
      <c r="Z31" s="28">
        <f t="shared" si="16"/>
        <v>110.71214044979239</v>
      </c>
      <c r="AA31" s="28">
        <f t="shared" si="17"/>
        <v>-0.26019024382426315</v>
      </c>
      <c r="AB31" s="28">
        <f t="shared" si="18"/>
        <v>64.113038041117605</v>
      </c>
      <c r="AC31" s="22">
        <f t="shared" si="19"/>
        <v>1761.5731890310012</v>
      </c>
      <c r="AD31" s="43">
        <f t="shared" si="20"/>
        <v>0.39447437449883871</v>
      </c>
      <c r="AE31" s="22">
        <f t="shared" si="21"/>
        <v>734.07736350488904</v>
      </c>
      <c r="AF31" s="22">
        <f t="shared" si="22"/>
        <v>1034.9893173572202</v>
      </c>
      <c r="AG31" s="30">
        <f t="shared" si="23"/>
        <v>0.41495177736723599</v>
      </c>
    </row>
    <row r="32" spans="1:33" x14ac:dyDescent="0.2">
      <c r="A32" s="35">
        <f>P2_TaskV_Valuation!A32</f>
        <v>45944</v>
      </c>
      <c r="B32" s="36">
        <f>P2_TaskV_Valuation!B32</f>
        <v>1820.3</v>
      </c>
      <c r="C32" s="45">
        <f>P2_TaskV_Valuation!N32</f>
        <v>1.901551239579561E-2</v>
      </c>
      <c r="D32" s="37">
        <f>P2_TaskV_Valuation!C32</f>
        <v>0.31</v>
      </c>
      <c r="E32" s="46">
        <f>P2_TaskV_Valuation!D32</f>
        <v>1.6767123287671233</v>
      </c>
      <c r="F32" s="47">
        <f>P2_TaskV_Valuation!O32</f>
        <v>1.301551239579561E-2</v>
      </c>
      <c r="G32" s="47">
        <f>P2_TaskV_Valuation!P32</f>
        <v>0.40141257428551058</v>
      </c>
      <c r="H32" s="47">
        <f>P2_TaskV_Valuation!Q32</f>
        <v>-0.36456282626643483</v>
      </c>
      <c r="I32" s="36">
        <f>P2_TaskV_Valuation!AB32</f>
        <v>1748.2121024375667</v>
      </c>
      <c r="J32" s="22">
        <f t="shared" si="0"/>
        <v>1838.5029999999999</v>
      </c>
      <c r="K32" s="28">
        <f t="shared" si="1"/>
        <v>4.532436606360607E-2</v>
      </c>
      <c r="L32" s="28">
        <f t="shared" si="2"/>
        <v>1.650548162396914</v>
      </c>
      <c r="M32" s="28">
        <f t="shared" si="3"/>
        <v>-2.7456270153200233</v>
      </c>
      <c r="N32" s="28">
        <f t="shared" si="4"/>
        <v>-1.1404032189867148</v>
      </c>
      <c r="O32" s="28">
        <f t="shared" si="5"/>
        <v>360.96346749631005</v>
      </c>
      <c r="P32" s="28">
        <f t="shared" si="6"/>
        <v>115.03383177041727</v>
      </c>
      <c r="Q32" s="28">
        <f t="shared" si="7"/>
        <v>-0.29363440139766528</v>
      </c>
      <c r="R32" s="28">
        <f t="shared" si="8"/>
        <v>65.930471649872572</v>
      </c>
      <c r="S32" s="22">
        <f t="shared" si="9"/>
        <v>1755.9808161379497</v>
      </c>
      <c r="T32" s="22">
        <f t="shared" si="10"/>
        <v>1802.097</v>
      </c>
      <c r="U32" s="28">
        <f t="shared" si="11"/>
        <v>-4.5013444096381749E-3</v>
      </c>
      <c r="V32" s="28">
        <f t="shared" si="12"/>
        <v>1.6007224519236698</v>
      </c>
      <c r="W32" s="28">
        <f t="shared" si="13"/>
        <v>-2.6958013048467784</v>
      </c>
      <c r="X32" s="28">
        <f t="shared" si="14"/>
        <v>-1.0905775085134704</v>
      </c>
      <c r="Y32" s="28">
        <f t="shared" si="15"/>
        <v>378.68962825946119</v>
      </c>
      <c r="Z32" s="28">
        <f t="shared" si="16"/>
        <v>125.55489725001644</v>
      </c>
      <c r="AA32" s="28">
        <f t="shared" si="17"/>
        <v>-0.34736473204164531</v>
      </c>
      <c r="AB32" s="28">
        <f t="shared" si="18"/>
        <v>71.206273234674057</v>
      </c>
      <c r="AC32" s="22">
        <f t="shared" si="19"/>
        <v>1740.1302187429048</v>
      </c>
      <c r="AD32" s="43">
        <f t="shared" si="20"/>
        <v>0.43538420576401737</v>
      </c>
      <c r="AE32" s="22">
        <f t="shared" si="21"/>
        <v>792.52986975224076</v>
      </c>
      <c r="AF32" s="22">
        <f t="shared" si="22"/>
        <v>955.68223268532597</v>
      </c>
      <c r="AG32" s="30">
        <f t="shared" si="23"/>
        <v>0.45333736601365515</v>
      </c>
    </row>
    <row r="33" spans="1:33" x14ac:dyDescent="0.2">
      <c r="A33" s="35">
        <f>P2_TaskV_Valuation!A33</f>
        <v>45945</v>
      </c>
      <c r="B33" s="36">
        <f>P2_TaskV_Valuation!B33</f>
        <v>1727.73</v>
      </c>
      <c r="C33" s="45">
        <f>P2_TaskV_Valuation!N33</f>
        <v>1.8876195170342079E-2</v>
      </c>
      <c r="D33" s="37">
        <f>P2_TaskV_Valuation!C33</f>
        <v>0.36299999999999999</v>
      </c>
      <c r="E33" s="46">
        <f>P2_TaskV_Valuation!D33</f>
        <v>1.6739726027397259</v>
      </c>
      <c r="F33" s="47">
        <f>P2_TaskV_Valuation!O33</f>
        <v>1.2876195170342079E-2</v>
      </c>
      <c r="G33" s="47">
        <f>P2_TaskV_Valuation!P33</f>
        <v>0.46965699812779427</v>
      </c>
      <c r="H33" s="47">
        <f>P2_TaskV_Valuation!Q33</f>
        <v>-0.40228206049721799</v>
      </c>
      <c r="I33" s="36">
        <f>P2_TaskV_Valuation!AB33</f>
        <v>1617.3232743416895</v>
      </c>
      <c r="J33" s="22">
        <f t="shared" si="0"/>
        <v>1745.0073</v>
      </c>
      <c r="K33" s="28">
        <f t="shared" si="1"/>
        <v>-9.6776917270418039E-3</v>
      </c>
      <c r="L33" s="28">
        <f t="shared" si="2"/>
        <v>1.3622959378773933</v>
      </c>
      <c r="M33" s="28">
        <f t="shared" si="3"/>
        <v>-2.1728247410938142</v>
      </c>
      <c r="N33" s="28">
        <f t="shared" si="4"/>
        <v>-0.80085111148937926</v>
      </c>
      <c r="O33" s="28">
        <f t="shared" si="5"/>
        <v>455.28556656206479</v>
      </c>
      <c r="P33" s="28">
        <f t="shared" si="6"/>
        <v>210.95326947298614</v>
      </c>
      <c r="Q33" s="28">
        <f t="shared" si="7"/>
        <v>-2.0219921016211195</v>
      </c>
      <c r="R33" s="28">
        <f t="shared" si="8"/>
        <v>98.119943230761351</v>
      </c>
      <c r="S33" s="22">
        <f t="shared" si="9"/>
        <v>1626.6963425915885</v>
      </c>
      <c r="T33" s="22">
        <f t="shared" si="10"/>
        <v>1710.4527</v>
      </c>
      <c r="U33" s="28">
        <f t="shared" si="11"/>
        <v>-5.2263380402817139E-2</v>
      </c>
      <c r="V33" s="28">
        <f t="shared" si="12"/>
        <v>1.3197102492016179</v>
      </c>
      <c r="W33" s="28">
        <f t="shared" si="13"/>
        <v>-2.1302390524180392</v>
      </c>
      <c r="X33" s="28">
        <f t="shared" si="14"/>
        <v>-0.75826542281360365</v>
      </c>
      <c r="Y33" s="28">
        <f t="shared" si="15"/>
        <v>472.81180831689039</v>
      </c>
      <c r="Z33" s="28">
        <f t="shared" si="16"/>
        <v>224.72880070064468</v>
      </c>
      <c r="AA33" s="28">
        <f t="shared" si="17"/>
        <v>-2.2839850772531118</v>
      </c>
      <c r="AB33" s="28">
        <f t="shared" si="18"/>
        <v>103.08981746149283</v>
      </c>
      <c r="AC33" s="22">
        <f t="shared" si="19"/>
        <v>1607.6889441575665</v>
      </c>
      <c r="AD33" s="43">
        <f t="shared" si="20"/>
        <v>0.55006854178667908</v>
      </c>
      <c r="AE33" s="22">
        <f t="shared" si="21"/>
        <v>950.36992170109909</v>
      </c>
      <c r="AF33" s="22">
        <f t="shared" si="22"/>
        <v>666.95335264059042</v>
      </c>
      <c r="AG33" s="30">
        <f t="shared" si="23"/>
        <v>0.58761902260259924</v>
      </c>
    </row>
    <row r="34" spans="1:33" x14ac:dyDescent="0.2">
      <c r="A34" s="35">
        <f>P2_TaskV_Valuation!A34</f>
        <v>45946</v>
      </c>
      <c r="B34" s="36">
        <f>P2_TaskV_Valuation!B34</f>
        <v>1756.94</v>
      </c>
      <c r="C34" s="45">
        <f>P2_TaskV_Valuation!N34</f>
        <v>1.8908867559306361E-2</v>
      </c>
      <c r="D34" s="37">
        <f>P2_TaskV_Valuation!C34</f>
        <v>0.35799999999999998</v>
      </c>
      <c r="E34" s="46">
        <f>P2_TaskV_Valuation!D34</f>
        <v>1.6712328767123288</v>
      </c>
      <c r="F34" s="47">
        <f>P2_TaskV_Valuation!O34</f>
        <v>1.2908867559306361E-2</v>
      </c>
      <c r="G34" s="47">
        <f>P2_TaskV_Valuation!P34</f>
        <v>0.46280869742363195</v>
      </c>
      <c r="H34" s="47">
        <f>P2_TaskV_Valuation!Q34</f>
        <v>-0.3992785215871355</v>
      </c>
      <c r="I34" s="36">
        <f>P2_TaskV_Valuation!AB34</f>
        <v>1641.3685900126025</v>
      </c>
      <c r="J34" s="22">
        <f t="shared" si="0"/>
        <v>1774.5094000000001</v>
      </c>
      <c r="K34" s="28">
        <f t="shared" si="1"/>
        <v>1.9546907651804446E-2</v>
      </c>
      <c r="L34" s="28">
        <f t="shared" si="2"/>
        <v>1.4118219879982334</v>
      </c>
      <c r="M34" s="28">
        <f t="shared" si="3"/>
        <v>-2.2480588184673502</v>
      </c>
      <c r="N34" s="28">
        <f t="shared" si="4"/>
        <v>-0.85578373812092079</v>
      </c>
      <c r="O34" s="28">
        <f t="shared" si="5"/>
        <v>435.96134856429012</v>
      </c>
      <c r="P34" s="28">
        <f t="shared" si="6"/>
        <v>193.16649865269554</v>
      </c>
      <c r="Q34" s="28">
        <f t="shared" si="7"/>
        <v>-1.6045031050375975</v>
      </c>
      <c r="R34" s="28">
        <f t="shared" si="8"/>
        <v>92.57212811024624</v>
      </c>
      <c r="S34" s="22">
        <f t="shared" si="9"/>
        <v>1650.4428220333727</v>
      </c>
      <c r="T34" s="22">
        <f t="shared" si="10"/>
        <v>1739.3706</v>
      </c>
      <c r="U34" s="28">
        <f t="shared" si="11"/>
        <v>-2.3668932538774334E-2</v>
      </c>
      <c r="V34" s="28">
        <f t="shared" si="12"/>
        <v>1.3686061478076545</v>
      </c>
      <c r="W34" s="28">
        <f t="shared" si="13"/>
        <v>-2.2048429782767704</v>
      </c>
      <c r="X34" s="28">
        <f t="shared" si="14"/>
        <v>-0.81256789793034212</v>
      </c>
      <c r="Y34" s="28">
        <f t="shared" si="15"/>
        <v>453.38305545074968</v>
      </c>
      <c r="Z34" s="28">
        <f t="shared" si="16"/>
        <v>206.34985979024555</v>
      </c>
      <c r="AA34" s="28">
        <f t="shared" si="17"/>
        <v>-1.8208133249539564</v>
      </c>
      <c r="AB34" s="28">
        <f t="shared" si="18"/>
        <v>97.587846607005929</v>
      </c>
      <c r="AC34" s="22">
        <f t="shared" si="19"/>
        <v>1632.0274321791467</v>
      </c>
      <c r="AD34" s="43">
        <f t="shared" si="20"/>
        <v>0.52407566149743523</v>
      </c>
      <c r="AE34" s="22">
        <f t="shared" si="21"/>
        <v>920.76949271130388</v>
      </c>
      <c r="AF34" s="22">
        <f t="shared" si="22"/>
        <v>720.59909730129857</v>
      </c>
      <c r="AG34" s="30">
        <f t="shared" si="23"/>
        <v>0.56097667416934927</v>
      </c>
    </row>
    <row r="35" spans="1:33" x14ac:dyDescent="0.2">
      <c r="A35" s="35">
        <f>P2_TaskV_Valuation!A35</f>
        <v>45950</v>
      </c>
      <c r="B35" s="36">
        <f>P2_TaskV_Valuation!B35</f>
        <v>1742.09</v>
      </c>
      <c r="C35" s="45">
        <f>P2_TaskV_Valuation!N35</f>
        <v>1.8828736831537133E-2</v>
      </c>
      <c r="D35" s="37">
        <f>P2_TaskV_Valuation!C35</f>
        <v>0.47299999999999998</v>
      </c>
      <c r="E35" s="46">
        <f>P2_TaskV_Valuation!D35</f>
        <v>1.6602739726027398</v>
      </c>
      <c r="F35" s="47">
        <f>P2_TaskV_Valuation!O35</f>
        <v>1.2828736831537133E-2</v>
      </c>
      <c r="G35" s="47">
        <f>P2_TaskV_Valuation!P35</f>
        <v>0.60946815800043097</v>
      </c>
      <c r="H35" s="47">
        <f>P2_TaskV_Valuation!Q35</f>
        <v>-0.44265948164280383</v>
      </c>
      <c r="I35" s="36">
        <f>P2_TaskV_Valuation!AB35</f>
        <v>1471.5842348262513</v>
      </c>
      <c r="J35" s="22">
        <f t="shared" si="0"/>
        <v>1759.5109</v>
      </c>
      <c r="K35" s="28">
        <f t="shared" si="1"/>
        <v>0.12947949253330532</v>
      </c>
      <c r="L35" s="28">
        <f t="shared" si="2"/>
        <v>1.1867242524639097</v>
      </c>
      <c r="M35" s="28">
        <f t="shared" si="3"/>
        <v>-1.5646064141901825</v>
      </c>
      <c r="N35" s="28">
        <f t="shared" si="4"/>
        <v>-0.50736165425957824</v>
      </c>
      <c r="O35" s="28">
        <f t="shared" si="5"/>
        <v>545.33809814518349</v>
      </c>
      <c r="P35" s="28">
        <f t="shared" si="6"/>
        <v>341.42898239292526</v>
      </c>
      <c r="Q35" s="28">
        <f t="shared" si="7"/>
        <v>-12.187292523750806</v>
      </c>
      <c r="R35" s="28">
        <f t="shared" si="8"/>
        <v>104.45033241499061</v>
      </c>
      <c r="S35" s="22">
        <f t="shared" si="9"/>
        <v>1480.3788066972472</v>
      </c>
      <c r="T35" s="22">
        <f t="shared" si="10"/>
        <v>1724.6690999999998</v>
      </c>
      <c r="U35" s="28">
        <f t="shared" si="11"/>
        <v>9.6662902455345145E-2</v>
      </c>
      <c r="V35" s="28">
        <f t="shared" si="12"/>
        <v>1.1539076623859497</v>
      </c>
      <c r="W35" s="28">
        <f t="shared" si="13"/>
        <v>-1.5317898241122225</v>
      </c>
      <c r="X35" s="28">
        <f t="shared" si="14"/>
        <v>-0.47454506418161796</v>
      </c>
      <c r="Y35" s="28">
        <f t="shared" si="15"/>
        <v>561.03285389593907</v>
      </c>
      <c r="Z35" s="28">
        <f t="shared" si="16"/>
        <v>355.9007753226021</v>
      </c>
      <c r="AA35" s="28">
        <f t="shared" si="17"/>
        <v>-13.15582228675855</v>
      </c>
      <c r="AB35" s="28">
        <f t="shared" si="18"/>
        <v>106.76386699849917</v>
      </c>
      <c r="AC35" s="22">
        <f t="shared" si="19"/>
        <v>1462.6249494210542</v>
      </c>
      <c r="AD35" s="43">
        <f t="shared" si="20"/>
        <v>0.50955625932624038</v>
      </c>
      <c r="AE35" s="22">
        <f t="shared" si="21"/>
        <v>887.69286380965002</v>
      </c>
      <c r="AF35" s="22">
        <f t="shared" si="22"/>
        <v>583.89137101660128</v>
      </c>
      <c r="AG35" s="30">
        <f t="shared" si="23"/>
        <v>0.60322259698199276</v>
      </c>
    </row>
    <row r="36" spans="1:33" x14ac:dyDescent="0.2">
      <c r="A36" s="35">
        <f>P2_TaskV_Valuation!A36</f>
        <v>45951</v>
      </c>
      <c r="B36" s="36">
        <f>P2_TaskV_Valuation!B36</f>
        <v>1762.88</v>
      </c>
      <c r="C36" s="45">
        <f>P2_TaskV_Valuation!N36</f>
        <v>1.8738817237848534E-2</v>
      </c>
      <c r="D36" s="37">
        <f>P2_TaskV_Valuation!C36</f>
        <v>0.46100000000000002</v>
      </c>
      <c r="E36" s="46">
        <f>P2_TaskV_Valuation!D36</f>
        <v>1.6575342465753424</v>
      </c>
      <c r="F36" s="47">
        <f>P2_TaskV_Valuation!O36</f>
        <v>1.2738817237848534E-2</v>
      </c>
      <c r="G36" s="47">
        <f>P2_TaskV_Valuation!P36</f>
        <v>0.59351565743157819</v>
      </c>
      <c r="H36" s="47">
        <f>P2_TaskV_Valuation!Q36</f>
        <v>-0.44005854838887204</v>
      </c>
      <c r="I36" s="36">
        <f>P2_TaskV_Valuation!AB36</f>
        <v>1498.3869253321207</v>
      </c>
      <c r="J36" s="22">
        <f t="shared" ref="J36:J67" si="24">B36*(1+dS)</f>
        <v>1780.5088000000001</v>
      </c>
      <c r="K36" s="28">
        <f t="shared" ref="K36:K67" si="25">LN(J36/Cap)/G36+(1+H36)*G36</f>
        <v>0.13647058543791241</v>
      </c>
      <c r="L36" s="28">
        <f t="shared" ref="L36:L67" si="26">LN(J36/Barrier)/G36+(1+H36)*G36</f>
        <v>1.2221319463849003</v>
      </c>
      <c r="M36" s="28">
        <f t="shared" ref="M36:M67" si="27">LN(Barrier^2/(J36*Cap))/G36+(1+H36)*G36</f>
        <v>-1.6431252697795458</v>
      </c>
      <c r="N36" s="28">
        <f t="shared" ref="N36:N67" si="28">LN(Barrier/J36)/G36+(1+H36)*G36</f>
        <v>-0.55746390883255825</v>
      </c>
      <c r="O36" s="28">
        <f t="shared" ref="O36:O67" si="29">-J36*EXP((F36-C36)*E36)*NORMSDIST(-K36)+Cap*EXP(-C36*E36)*NORMSDIST(-K36+G36)</f>
        <v>525.23925200597876</v>
      </c>
      <c r="P36" s="28">
        <f t="shared" ref="P36:P67" si="30">-J36*EXP((F36-C36)*E36)*NORMSDIST(-L36)+Cap*EXP(-C36*E36)*NORMSDIST(-L36+G36)</f>
        <v>318.02462992522521</v>
      </c>
      <c r="Q36" s="28">
        <f t="shared" ref="Q36:Q67" si="31">-J36*EXP((F36-C36)*E36)*(Barrier/J36)^(2*(H36+1))*NORMSDIST(M36)+Cap*EXP(-C36*E36)*(Barrier/J36)^(2*H36)*NORMSDIST(M36-G36)</f>
        <v>-9.9123253273282046</v>
      </c>
      <c r="R36" s="28">
        <f t="shared" ref="R36:R67" si="32">-J36*EXP((F36-C36)*E36)*(Barrier/J36)^(2*(H36+1))*NORMSDIST(N36)+Cap*EXP(-C36*E36)*(Barrier/J36)^(2*H36)*NORMSDIST(N36-G36)</f>
        <v>103.72342489894828</v>
      </c>
      <c r="S36" s="22">
        <f t="shared" ref="S36:S67" si="33">Cap*EXP(-C36*E36)-O36+IF(J36&lt;=Barrier,0,O36-P36+Q36-R36)</f>
        <v>1507.1739839460195</v>
      </c>
      <c r="T36" s="22">
        <f t="shared" ref="T36:T67" si="34">B36*(1-dS)</f>
        <v>1745.2512000000002</v>
      </c>
      <c r="U36" s="28">
        <f t="shared" ref="U36:U67" si="35">LN(T36/Cap)/G36+(1+H36)*G36</f>
        <v>0.10277195178564838</v>
      </c>
      <c r="V36" s="28">
        <f t="shared" ref="V36:V67" si="36">LN(T36/Barrier)/G36+(1+H36)*G36</f>
        <v>1.1884333127326359</v>
      </c>
      <c r="W36" s="28">
        <f t="shared" ref="W36:W67" si="37">LN(Barrier^2/(T36*Cap))/G36+(1+H36)*G36</f>
        <v>-1.6094266361272815</v>
      </c>
      <c r="X36" s="28">
        <f t="shared" ref="X36:X67" si="38">LN(Barrier/T36)/G36+(1+H36)*G36</f>
        <v>-0.52376527518029437</v>
      </c>
      <c r="Y36" s="28">
        <f t="shared" ref="Y36:Y67" si="39">-T36*EXP((F36-C36)*E36)*NORMSDIST(-U36)+Cap*EXP(-C36*E36)*NORMSDIST(-U36+G36)</f>
        <v>541.03095298696735</v>
      </c>
      <c r="Z36" s="28">
        <f t="shared" ref="Z36:Z67" si="40">-T36*EXP((F36-C36)*E36)*NORMSDIST(-V36)+Cap*EXP(-C36*E36)*NORMSDIST(-V36+G36)</f>
        <v>332.27360375806006</v>
      </c>
      <c r="AA36" s="28">
        <f t="shared" ref="AA36:AA67" si="41">-T36*EXP((F36-C36)*E36)*(Barrier/T36)^(2*(H36+1))*NORMSDIST(W36)+Cap*EXP(-C36*E36)*(Barrier/T36)^(2*H36)*NORMSDIST(W36-G36)</f>
        <v>-10.745812111732732</v>
      </c>
      <c r="AB36" s="28">
        <f t="shared" ref="AB36:AB67" si="42">-T36*EXP((F36-C36)*E36)*(Barrier/T36)^(2*(H36+1))*NORMSDIST(X36)+Cap*EXP(-C36*E36)*(Barrier/T36)^(2*H36)*NORMSDIST(X36-G36)</f>
        <v>106.38901621238568</v>
      </c>
      <c r="AC36" s="22">
        <f t="shared" ref="AC36:AC67" si="43">Cap*EXP(-C36*E36)-Y36+IF(T36&lt;=Barrier,0,Y36-Z36+AA36-AB36)</f>
        <v>1489.4259320153428</v>
      </c>
      <c r="AD36" s="43">
        <f t="shared" ref="AD36:AD67" si="44">(S36-AC36)/(2*dS*B36)</f>
        <v>0.50338230425997899</v>
      </c>
      <c r="AE36" s="22">
        <f t="shared" ref="AE36:AE67" si="45">AD36*B36</f>
        <v>887.4025965338318</v>
      </c>
      <c r="AF36" s="22">
        <f t="shared" ref="AF36:AF67" si="46">I36-AE36</f>
        <v>610.98432879828886</v>
      </c>
      <c r="AG36" s="30">
        <f t="shared" ref="AG36:AG67" si="47">AE36/I36</f>
        <v>0.59223861442673564</v>
      </c>
    </row>
    <row r="37" spans="1:33" x14ac:dyDescent="0.2">
      <c r="A37" s="35">
        <f>P2_TaskV_Valuation!A37</f>
        <v>45952</v>
      </c>
      <c r="B37" s="36">
        <f>P2_TaskV_Valuation!B37</f>
        <v>1733.18</v>
      </c>
      <c r="C37" s="45">
        <f>P2_TaskV_Valuation!N37</f>
        <v>1.8846940383330284E-2</v>
      </c>
      <c r="D37" s="37">
        <f>P2_TaskV_Valuation!C37</f>
        <v>0.45200000000000001</v>
      </c>
      <c r="E37" s="46">
        <f>P2_TaskV_Valuation!D37</f>
        <v>1.6547945205479453</v>
      </c>
      <c r="F37" s="47">
        <f>P2_TaskV_Valuation!O37</f>
        <v>1.2846940383330284E-2</v>
      </c>
      <c r="G37" s="47">
        <f>P2_TaskV_Valuation!P37</f>
        <v>0.58144745224828998</v>
      </c>
      <c r="H37" s="47">
        <f>P2_TaskV_Valuation!Q37</f>
        <v>-0.43711850779558753</v>
      </c>
      <c r="I37" s="36">
        <f>P2_TaskV_Valuation!AB37</f>
        <v>1495.4618602634416</v>
      </c>
      <c r="J37" s="22">
        <f t="shared" si="24"/>
        <v>1750.5118</v>
      </c>
      <c r="K37" s="28">
        <f t="shared" si="25"/>
        <v>9.8135502968665994E-2</v>
      </c>
      <c r="L37" s="28">
        <f t="shared" si="26"/>
        <v>1.206330257110197</v>
      </c>
      <c r="M37" s="28">
        <f t="shared" si="27"/>
        <v>-1.6599529921317853</v>
      </c>
      <c r="N37" s="28">
        <f t="shared" si="28"/>
        <v>-0.55175823799025436</v>
      </c>
      <c r="O37" s="28">
        <f t="shared" si="29"/>
        <v>530.16199360426026</v>
      </c>
      <c r="P37" s="28">
        <f t="shared" si="30"/>
        <v>318.39236825144746</v>
      </c>
      <c r="Q37" s="28">
        <f t="shared" si="31"/>
        <v>-9.3615286381261527</v>
      </c>
      <c r="R37" s="28">
        <f t="shared" si="32"/>
        <v>106.37572238149369</v>
      </c>
      <c r="S37" s="22">
        <f t="shared" si="33"/>
        <v>1504.4573995348669</v>
      </c>
      <c r="T37" s="22">
        <f t="shared" si="34"/>
        <v>1715.8482000000001</v>
      </c>
      <c r="U37" s="28">
        <f t="shared" si="35"/>
        <v>6.373743891432615E-2</v>
      </c>
      <c r="V37" s="28">
        <f t="shared" si="36"/>
        <v>1.1719321930558571</v>
      </c>
      <c r="W37" s="28">
        <f t="shared" si="37"/>
        <v>-1.6255549280774457</v>
      </c>
      <c r="X37" s="28">
        <f t="shared" si="38"/>
        <v>-0.51736017393591449</v>
      </c>
      <c r="Y37" s="28">
        <f t="shared" si="39"/>
        <v>546.21484795220567</v>
      </c>
      <c r="Z37" s="28">
        <f t="shared" si="40"/>
        <v>332.92022260088606</v>
      </c>
      <c r="AA37" s="28">
        <f t="shared" si="41"/>
        <v>-10.171417882394884</v>
      </c>
      <c r="AB37" s="28">
        <f t="shared" si="42"/>
        <v>109.20802556198157</v>
      </c>
      <c r="AC37" s="22">
        <f t="shared" si="43"/>
        <v>1486.2873527606716</v>
      </c>
      <c r="AD37" s="43">
        <f t="shared" si="44"/>
        <v>0.52418233461600261</v>
      </c>
      <c r="AE37" s="22">
        <f t="shared" si="45"/>
        <v>908.50233870976342</v>
      </c>
      <c r="AF37" s="22">
        <f t="shared" si="46"/>
        <v>586.9595215536782</v>
      </c>
      <c r="AG37" s="30">
        <f t="shared" si="47"/>
        <v>0.60750619113062565</v>
      </c>
    </row>
    <row r="38" spans="1:33" x14ac:dyDescent="0.2">
      <c r="A38" s="35">
        <f>P2_TaskV_Valuation!A38</f>
        <v>45953</v>
      </c>
      <c r="B38" s="36">
        <f>P2_TaskV_Valuation!B38</f>
        <v>1748.52</v>
      </c>
      <c r="C38" s="45">
        <f>P2_TaskV_Valuation!N38</f>
        <v>1.8928633684808373E-2</v>
      </c>
      <c r="D38" s="37">
        <f>P2_TaskV_Valuation!C38</f>
        <v>0.44</v>
      </c>
      <c r="E38" s="46">
        <f>P2_TaskV_Valuation!D38</f>
        <v>1.6520547945205479</v>
      </c>
      <c r="F38" s="47">
        <f>P2_TaskV_Valuation!O38</f>
        <v>1.2928633684808373E-2</v>
      </c>
      <c r="G38" s="47">
        <f>P2_TaskV_Valuation!P38</f>
        <v>0.56554204814423659</v>
      </c>
      <c r="H38" s="47">
        <f>P2_TaskV_Valuation!Q38</f>
        <v>-0.43321986733053525</v>
      </c>
      <c r="I38" s="36">
        <f>P2_TaskV_Valuation!AB38</f>
        <v>1520.0586926518233</v>
      </c>
      <c r="J38" s="22">
        <f t="shared" si="24"/>
        <v>1766.0052000000001</v>
      </c>
      <c r="K38" s="28">
        <f t="shared" si="25"/>
        <v>0.10052405773642242</v>
      </c>
      <c r="L38" s="28">
        <f t="shared" si="26"/>
        <v>1.2398858761987264</v>
      </c>
      <c r="M38" s="28">
        <f t="shared" si="27"/>
        <v>-1.7381717005063275</v>
      </c>
      <c r="N38" s="28">
        <f t="shared" si="28"/>
        <v>-0.59880988204402397</v>
      </c>
      <c r="O38" s="28">
        <f t="shared" si="29"/>
        <v>511.9827617894307</v>
      </c>
      <c r="P38" s="28">
        <f t="shared" si="30"/>
        <v>296.70782465004379</v>
      </c>
      <c r="Q38" s="28">
        <f t="shared" si="31"/>
        <v>-7.5541875251734893</v>
      </c>
      <c r="R38" s="28">
        <f t="shared" si="32"/>
        <v>105.11346071955961</v>
      </c>
      <c r="S38" s="22">
        <f t="shared" si="33"/>
        <v>1529.050017246497</v>
      </c>
      <c r="T38" s="22">
        <f t="shared" si="34"/>
        <v>1731.0347999999999</v>
      </c>
      <c r="U38" s="28">
        <f t="shared" si="35"/>
        <v>6.5158576474154462E-2</v>
      </c>
      <c r="V38" s="28">
        <f t="shared" si="36"/>
        <v>1.2045203949364585</v>
      </c>
      <c r="W38" s="28">
        <f t="shared" si="37"/>
        <v>-1.7028062192440601</v>
      </c>
      <c r="X38" s="28">
        <f t="shared" si="38"/>
        <v>-0.56344440078175584</v>
      </c>
      <c r="Y38" s="28">
        <f t="shared" si="39"/>
        <v>528.15172046900852</v>
      </c>
      <c r="Z38" s="28">
        <f t="shared" si="40"/>
        <v>311.01581021158233</v>
      </c>
      <c r="AA38" s="28">
        <f t="shared" si="41"/>
        <v>-8.246408573268603</v>
      </c>
      <c r="AB38" s="28">
        <f t="shared" si="42"/>
        <v>108.28492807245061</v>
      </c>
      <c r="AC38" s="22">
        <f t="shared" si="43"/>
        <v>1510.8783432839723</v>
      </c>
      <c r="AD38" s="43">
        <f t="shared" si="44"/>
        <v>0.51963014327902068</v>
      </c>
      <c r="AE38" s="22">
        <f t="shared" si="45"/>
        <v>908.58369812623323</v>
      </c>
      <c r="AF38" s="22">
        <f t="shared" si="46"/>
        <v>611.47499452559009</v>
      </c>
      <c r="AG38" s="30">
        <f t="shared" si="47"/>
        <v>0.59772935250359349</v>
      </c>
    </row>
    <row r="39" spans="1:33" x14ac:dyDescent="0.2">
      <c r="A39" s="35">
        <f>P2_TaskV_Valuation!A39</f>
        <v>45954</v>
      </c>
      <c r="B39" s="36">
        <f>P2_TaskV_Valuation!B39</f>
        <v>1746.54</v>
      </c>
      <c r="C39" s="45">
        <f>P2_TaskV_Valuation!N39</f>
        <v>1.9305988956251508E-2</v>
      </c>
      <c r="D39" s="37">
        <f>P2_TaskV_Valuation!C39</f>
        <v>0.42599999999999999</v>
      </c>
      <c r="E39" s="46">
        <f>P2_TaskV_Valuation!D39</f>
        <v>1.6493150684931508</v>
      </c>
      <c r="F39" s="47">
        <f>P2_TaskV_Valuation!O39</f>
        <v>1.3305988956251508E-2</v>
      </c>
      <c r="G39" s="47">
        <f>P2_TaskV_Valuation!P39</f>
        <v>0.54709332053120796</v>
      </c>
      <c r="H39" s="47">
        <f>P2_TaskV_Valuation!Q39</f>
        <v>-0.42667907075177153</v>
      </c>
      <c r="I39" s="36">
        <f>P2_TaskV_Valuation!AB39</f>
        <v>1538.4184729000767</v>
      </c>
      <c r="J39" s="22">
        <f t="shared" si="24"/>
        <v>1764.0054</v>
      </c>
      <c r="K39" s="28">
        <f t="shared" si="25"/>
        <v>8.4155947967770484E-2</v>
      </c>
      <c r="L39" s="28">
        <f t="shared" si="26"/>
        <v>1.261938589811882</v>
      </c>
      <c r="M39" s="28">
        <f t="shared" si="27"/>
        <v>-1.8124011298310914</v>
      </c>
      <c r="N39" s="28">
        <f t="shared" si="28"/>
        <v>-0.63461848798697962</v>
      </c>
      <c r="O39" s="28">
        <f t="shared" si="29"/>
        <v>499.32885082053508</v>
      </c>
      <c r="P39" s="28">
        <f t="shared" si="30"/>
        <v>279.07608644545951</v>
      </c>
      <c r="Q39" s="28">
        <f t="shared" si="31"/>
        <v>-6.0872291530332525</v>
      </c>
      <c r="R39" s="28">
        <f t="shared" si="32"/>
        <v>104.66720829100936</v>
      </c>
      <c r="S39" s="22">
        <f t="shared" si="33"/>
        <v>1547.4893741269746</v>
      </c>
      <c r="T39" s="22">
        <f t="shared" si="34"/>
        <v>1729.0745999999999</v>
      </c>
      <c r="U39" s="28">
        <f t="shared" si="35"/>
        <v>4.7597894787282602E-2</v>
      </c>
      <c r="V39" s="28">
        <f t="shared" si="36"/>
        <v>1.2253805366313939</v>
      </c>
      <c r="W39" s="28">
        <f t="shared" si="37"/>
        <v>-1.775843076650603</v>
      </c>
      <c r="X39" s="28">
        <f t="shared" si="38"/>
        <v>-0.59806043480649174</v>
      </c>
      <c r="Y39" s="28">
        <f t="shared" si="39"/>
        <v>515.71315649415772</v>
      </c>
      <c r="Z39" s="28">
        <f t="shared" si="40"/>
        <v>293.30011451944756</v>
      </c>
      <c r="AA39" s="28">
        <f t="shared" si="41"/>
        <v>-6.6809235351726315</v>
      </c>
      <c r="AB39" s="28">
        <f t="shared" si="42"/>
        <v>108.19180540040395</v>
      </c>
      <c r="AC39" s="22">
        <f t="shared" si="43"/>
        <v>1529.1470545614523</v>
      </c>
      <c r="AD39" s="43">
        <f t="shared" si="44"/>
        <v>0.52510447987227038</v>
      </c>
      <c r="AE39" s="22">
        <f t="shared" si="45"/>
        <v>917.11597827611513</v>
      </c>
      <c r="AF39" s="22">
        <f t="shared" si="46"/>
        <v>621.30249462396159</v>
      </c>
      <c r="AG39" s="30">
        <f t="shared" si="47"/>
        <v>0.59614207345499259</v>
      </c>
    </row>
    <row r="40" spans="1:33" x14ac:dyDescent="0.2">
      <c r="A40" s="35">
        <f>P2_TaskV_Valuation!A40</f>
        <v>45957</v>
      </c>
      <c r="B40" s="36">
        <f>P2_TaskV_Valuation!B40</f>
        <v>1714.36</v>
      </c>
      <c r="C40" s="45">
        <f>P2_TaskV_Valuation!N40</f>
        <v>1.9335424826523825E-2</v>
      </c>
      <c r="D40" s="37">
        <f>P2_TaskV_Valuation!C40</f>
        <v>0.42</v>
      </c>
      <c r="E40" s="46">
        <f>P2_TaskV_Valuation!D40</f>
        <v>1.6410958904109589</v>
      </c>
      <c r="F40" s="47">
        <f>P2_TaskV_Valuation!O40</f>
        <v>1.3335424826523825E-2</v>
      </c>
      <c r="G40" s="47">
        <f>P2_TaskV_Valuation!P40</f>
        <v>0.53804211272770575</v>
      </c>
      <c r="H40" s="47">
        <f>P2_TaskV_Valuation!Q40</f>
        <v>-0.42440235359113482</v>
      </c>
      <c r="I40" s="36">
        <f>P2_TaskV_Valuation!AB40</f>
        <v>1531.1234931748368</v>
      </c>
      <c r="J40" s="22">
        <f t="shared" si="24"/>
        <v>1731.5036</v>
      </c>
      <c r="K40" s="28">
        <f t="shared" si="25"/>
        <v>4.1766901331185047E-2</v>
      </c>
      <c r="L40" s="28">
        <f t="shared" si="26"/>
        <v>1.2393627793263557</v>
      </c>
      <c r="M40" s="28">
        <f t="shared" si="27"/>
        <v>-1.8175671098116848</v>
      </c>
      <c r="N40" s="28">
        <f t="shared" si="28"/>
        <v>-0.61997123181651426</v>
      </c>
      <c r="O40" s="28">
        <f t="shared" si="29"/>
        <v>508.48004670106843</v>
      </c>
      <c r="P40" s="28">
        <f t="shared" si="30"/>
        <v>283.52024226436913</v>
      </c>
      <c r="Q40" s="28">
        <f t="shared" si="31"/>
        <v>-5.9295769352367707</v>
      </c>
      <c r="R40" s="28">
        <f t="shared" si="32"/>
        <v>107.64450928078094</v>
      </c>
      <c r="S40" s="22">
        <f t="shared" si="33"/>
        <v>1540.4394077423892</v>
      </c>
      <c r="T40" s="22">
        <f t="shared" si="34"/>
        <v>1697.2163999999998</v>
      </c>
      <c r="U40" s="28">
        <f t="shared" si="35"/>
        <v>4.5938506841410875E-3</v>
      </c>
      <c r="V40" s="28">
        <f t="shared" si="36"/>
        <v>1.2021897286793117</v>
      </c>
      <c r="W40" s="28">
        <f t="shared" si="37"/>
        <v>-1.7803940591646408</v>
      </c>
      <c r="X40" s="28">
        <f t="shared" si="38"/>
        <v>-0.58279818116947002</v>
      </c>
      <c r="Y40" s="28">
        <f t="shared" si="39"/>
        <v>525.14090794911715</v>
      </c>
      <c r="Z40" s="28">
        <f t="shared" si="40"/>
        <v>298.10238379352853</v>
      </c>
      <c r="AA40" s="28">
        <f t="shared" si="41"/>
        <v>-6.5194963023171297</v>
      </c>
      <c r="AB40" s="28">
        <f t="shared" si="42"/>
        <v>111.30944764108671</v>
      </c>
      <c r="AC40" s="22">
        <f t="shared" si="43"/>
        <v>1521.6024084858436</v>
      </c>
      <c r="AD40" s="43">
        <f t="shared" si="44"/>
        <v>0.54938867147348269</v>
      </c>
      <c r="AE40" s="22">
        <f t="shared" si="45"/>
        <v>941.84996282727968</v>
      </c>
      <c r="AF40" s="22">
        <f t="shared" si="46"/>
        <v>589.27353034755708</v>
      </c>
      <c r="AG40" s="30">
        <f t="shared" si="47"/>
        <v>0.6151365105595249</v>
      </c>
    </row>
    <row r="41" spans="1:33" x14ac:dyDescent="0.2">
      <c r="A41" s="35">
        <f>P2_TaskV_Valuation!A41</f>
        <v>45958</v>
      </c>
      <c r="B41" s="36">
        <f>P2_TaskV_Valuation!B41</f>
        <v>1727.73</v>
      </c>
      <c r="C41" s="45">
        <f>P2_TaskV_Valuation!N41</f>
        <v>1.9313669193829552E-2</v>
      </c>
      <c r="D41" s="37">
        <f>P2_TaskV_Valuation!C41</f>
        <v>0.40799999999999997</v>
      </c>
      <c r="E41" s="46">
        <f>P2_TaskV_Valuation!D41</f>
        <v>1.6383561643835616</v>
      </c>
      <c r="F41" s="47">
        <f>P2_TaskV_Valuation!O41</f>
        <v>1.3313669193829552E-2</v>
      </c>
      <c r="G41" s="47">
        <f>P2_TaskV_Valuation!P41</f>
        <v>0.52223301365189956</v>
      </c>
      <c r="H41" s="47">
        <f>P2_TaskV_Valuation!Q41</f>
        <v>-0.4200207300447571</v>
      </c>
      <c r="I41" s="36">
        <f>P2_TaskV_Valuation!AB41</f>
        <v>1556.0326540870185</v>
      </c>
      <c r="J41" s="22">
        <f t="shared" si="24"/>
        <v>1745.0073</v>
      </c>
      <c r="K41" s="28">
        <f t="shared" si="25"/>
        <v>4.1720362683836776E-2</v>
      </c>
      <c r="L41" s="28">
        <f t="shared" si="26"/>
        <v>1.2755700036412676</v>
      </c>
      <c r="M41" s="28">
        <f t="shared" si="27"/>
        <v>-1.9036510005899883</v>
      </c>
      <c r="N41" s="28">
        <f t="shared" si="28"/>
        <v>-0.6698013596325576</v>
      </c>
      <c r="O41" s="28">
        <f t="shared" si="29"/>
        <v>491.27484073944652</v>
      </c>
      <c r="P41" s="28">
        <f t="shared" si="30"/>
        <v>262.57766997483702</v>
      </c>
      <c r="Q41" s="28">
        <f t="shared" si="31"/>
        <v>-4.6286173351429554</v>
      </c>
      <c r="R41" s="28">
        <f t="shared" si="32"/>
        <v>105.17680205098551</v>
      </c>
      <c r="S41" s="22">
        <f t="shared" si="33"/>
        <v>1565.3223533649541</v>
      </c>
      <c r="T41" s="22">
        <f t="shared" si="34"/>
        <v>1710.4527</v>
      </c>
      <c r="U41" s="28">
        <f t="shared" si="35"/>
        <v>3.4220050851708206E-3</v>
      </c>
      <c r="V41" s="28">
        <f t="shared" si="36"/>
        <v>1.2372716460426014</v>
      </c>
      <c r="W41" s="28">
        <f t="shared" si="37"/>
        <v>-1.8653526429913223</v>
      </c>
      <c r="X41" s="28">
        <f t="shared" si="38"/>
        <v>-0.63150300203389143</v>
      </c>
      <c r="Y41" s="28">
        <f t="shared" si="39"/>
        <v>508.07420177974586</v>
      </c>
      <c r="Z41" s="28">
        <f t="shared" si="40"/>
        <v>276.89290185598122</v>
      </c>
      <c r="AA41" s="28">
        <f t="shared" si="41"/>
        <v>-5.1182250966785752</v>
      </c>
      <c r="AB41" s="28">
        <f t="shared" si="42"/>
        <v>109.16855940920036</v>
      </c>
      <c r="AC41" s="22">
        <f t="shared" si="43"/>
        <v>1546.5257563640594</v>
      </c>
      <c r="AD41" s="43">
        <f t="shared" si="44"/>
        <v>0.54396801007375961</v>
      </c>
      <c r="AE41" s="22">
        <f t="shared" si="45"/>
        <v>939.82985004473676</v>
      </c>
      <c r="AF41" s="22">
        <f t="shared" si="46"/>
        <v>616.20280404228174</v>
      </c>
      <c r="AG41" s="30">
        <f t="shared" si="47"/>
        <v>0.6039910843620242</v>
      </c>
    </row>
    <row r="42" spans="1:33" x14ac:dyDescent="0.2">
      <c r="A42" s="35">
        <f>P2_TaskV_Valuation!A42</f>
        <v>45959</v>
      </c>
      <c r="B42" s="36">
        <f>P2_TaskV_Valuation!B42</f>
        <v>1713.87</v>
      </c>
      <c r="C42" s="45">
        <f>P2_TaskV_Valuation!N42</f>
        <v>1.9253872713439212E-2</v>
      </c>
      <c r="D42" s="37">
        <f>P2_TaskV_Valuation!C42</f>
        <v>0.39700000000000002</v>
      </c>
      <c r="E42" s="46">
        <f>P2_TaskV_Valuation!D42</f>
        <v>1.6356164383561644</v>
      </c>
      <c r="F42" s="47">
        <f>P2_TaskV_Valuation!O42</f>
        <v>1.3253872713439212E-2</v>
      </c>
      <c r="G42" s="47">
        <f>P2_TaskV_Valuation!P42</f>
        <v>0.50772814697717594</v>
      </c>
      <c r="H42" s="47">
        <f>P2_TaskV_Valuation!Q42</f>
        <v>-0.4159066251709026</v>
      </c>
      <c r="I42" s="36">
        <f>P2_TaskV_Valuation!AB42</f>
        <v>1564.9776756564852</v>
      </c>
      <c r="J42" s="22">
        <f t="shared" si="24"/>
        <v>1731.0086999999999</v>
      </c>
      <c r="K42" s="28">
        <f t="shared" si="25"/>
        <v>1.2072029791812267E-2</v>
      </c>
      <c r="L42" s="28">
        <f t="shared" si="26"/>
        <v>1.2811705035060916</v>
      </c>
      <c r="M42" s="28">
        <f t="shared" si="27"/>
        <v>-1.9571476834931261</v>
      </c>
      <c r="N42" s="28">
        <f t="shared" si="28"/>
        <v>-0.6880492097788462</v>
      </c>
      <c r="O42" s="28">
        <f t="shared" si="29"/>
        <v>488.28838563087572</v>
      </c>
      <c r="P42" s="28">
        <f t="shared" si="30"/>
        <v>254.11792627147355</v>
      </c>
      <c r="Q42" s="28">
        <f t="shared" si="31"/>
        <v>-3.9258447028424328</v>
      </c>
      <c r="R42" s="28">
        <f t="shared" si="32"/>
        <v>105.53371859466446</v>
      </c>
      <c r="S42" s="22">
        <f t="shared" si="33"/>
        <v>1574.4200227756073</v>
      </c>
      <c r="T42" s="22">
        <f t="shared" si="34"/>
        <v>1696.7312999999999</v>
      </c>
      <c r="U42" s="28">
        <f t="shared" si="35"/>
        <v>-2.7320441997955525E-2</v>
      </c>
      <c r="V42" s="28">
        <f t="shared" si="36"/>
        <v>1.2417780317163238</v>
      </c>
      <c r="W42" s="28">
        <f t="shared" si="37"/>
        <v>-1.9177552117033576</v>
      </c>
      <c r="X42" s="28">
        <f t="shared" si="38"/>
        <v>-0.64865673798907864</v>
      </c>
      <c r="Y42" s="28">
        <f t="shared" si="39"/>
        <v>505.36205813517427</v>
      </c>
      <c r="Z42" s="28">
        <f t="shared" si="40"/>
        <v>268.52246701751403</v>
      </c>
      <c r="AA42" s="28">
        <f t="shared" si="41"/>
        <v>-4.3616516123626852</v>
      </c>
      <c r="AB42" s="28">
        <f t="shared" si="42"/>
        <v>109.80600387307823</v>
      </c>
      <c r="AC42" s="22">
        <f t="shared" si="43"/>
        <v>1555.307389841633</v>
      </c>
      <c r="AD42" s="43">
        <f t="shared" si="44"/>
        <v>0.5575870087572069</v>
      </c>
      <c r="AE42" s="22">
        <f t="shared" si="45"/>
        <v>955.63164669871412</v>
      </c>
      <c r="AF42" s="22">
        <f t="shared" si="46"/>
        <v>609.34602895777107</v>
      </c>
      <c r="AG42" s="30">
        <f t="shared" si="47"/>
        <v>0.61063596085985106</v>
      </c>
    </row>
    <row r="43" spans="1:33" x14ac:dyDescent="0.2">
      <c r="A43" s="35">
        <f>P2_TaskV_Valuation!A43</f>
        <v>45960</v>
      </c>
      <c r="B43" s="36">
        <f>P2_TaskV_Valuation!B43</f>
        <v>1688.13</v>
      </c>
      <c r="C43" s="45">
        <f>P2_TaskV_Valuation!N43</f>
        <v>1.9453029888413846E-2</v>
      </c>
      <c r="D43" s="37">
        <f>P2_TaskV_Valuation!C43</f>
        <v>0.38900000000000001</v>
      </c>
      <c r="E43" s="46">
        <f>P2_TaskV_Valuation!D43</f>
        <v>1.6328767123287671</v>
      </c>
      <c r="F43" s="47">
        <f>P2_TaskV_Valuation!O43</f>
        <v>1.3453029888413846E-2</v>
      </c>
      <c r="G43" s="47">
        <f>P2_TaskV_Valuation!P43</f>
        <v>0.49708001064848845</v>
      </c>
      <c r="H43" s="47">
        <f>P2_TaskV_Valuation!Q43</f>
        <v>-0.41109608125498875</v>
      </c>
      <c r="I43" s="36">
        <f>P2_TaskV_Valuation!AB43</f>
        <v>1562.4196568011141</v>
      </c>
      <c r="J43" s="22">
        <f t="shared" si="24"/>
        <v>1705.0113000000001</v>
      </c>
      <c r="K43" s="28">
        <f t="shared" si="25"/>
        <v>-2.8293301422224693E-2</v>
      </c>
      <c r="L43" s="28">
        <f t="shared" si="26"/>
        <v>1.2679910040960918</v>
      </c>
      <c r="M43" s="28">
        <f t="shared" si="27"/>
        <v>-1.9788105772129949</v>
      </c>
      <c r="N43" s="28">
        <f t="shared" si="28"/>
        <v>-0.6825262716946785</v>
      </c>
      <c r="O43" s="28">
        <f t="shared" si="29"/>
        <v>493.63468378114317</v>
      </c>
      <c r="P43" s="28">
        <f t="shared" si="30"/>
        <v>254.08728962714918</v>
      </c>
      <c r="Q43" s="28">
        <f t="shared" si="31"/>
        <v>-3.6359100066395307</v>
      </c>
      <c r="R43" s="28">
        <f t="shared" si="32"/>
        <v>107.64945672938063</v>
      </c>
      <c r="S43" s="22">
        <f t="shared" si="33"/>
        <v>1572.0969228501629</v>
      </c>
      <c r="T43" s="22">
        <f t="shared" si="34"/>
        <v>1671.2487000000001</v>
      </c>
      <c r="U43" s="28">
        <f t="shared" si="35"/>
        <v>-6.8529614044365472E-2</v>
      </c>
      <c r="V43" s="28">
        <f t="shared" si="36"/>
        <v>1.2277546914739514</v>
      </c>
      <c r="W43" s="28">
        <f t="shared" si="37"/>
        <v>-1.938574264590855</v>
      </c>
      <c r="X43" s="28">
        <f t="shared" si="38"/>
        <v>-0.64228995907253783</v>
      </c>
      <c r="Y43" s="28">
        <f t="shared" si="39"/>
        <v>510.99592433491307</v>
      </c>
      <c r="Z43" s="28">
        <f t="shared" si="40"/>
        <v>268.77661431729837</v>
      </c>
      <c r="AA43" s="28">
        <f t="shared" si="41"/>
        <v>-4.052146365748154</v>
      </c>
      <c r="AB43" s="28">
        <f t="shared" si="42"/>
        <v>112.1341986023574</v>
      </c>
      <c r="AC43" s="22">
        <f t="shared" si="43"/>
        <v>1552.5066199279283</v>
      </c>
      <c r="AD43" s="43">
        <f t="shared" si="44"/>
        <v>0.58023679818007234</v>
      </c>
      <c r="AE43" s="22">
        <f t="shared" si="45"/>
        <v>979.51514611172558</v>
      </c>
      <c r="AF43" s="22">
        <f t="shared" si="46"/>
        <v>582.90451068938853</v>
      </c>
      <c r="AG43" s="30">
        <f t="shared" si="47"/>
        <v>0.62692192961600168</v>
      </c>
    </row>
    <row r="44" spans="1:33" x14ac:dyDescent="0.2">
      <c r="A44" s="35">
        <f>P2_TaskV_Valuation!A44</f>
        <v>45964</v>
      </c>
      <c r="B44" s="36">
        <f>P2_TaskV_Valuation!B44</f>
        <v>1755.95</v>
      </c>
      <c r="C44" s="45">
        <f>P2_TaskV_Valuation!N44</f>
        <v>1.9360050803583325E-2</v>
      </c>
      <c r="D44" s="37">
        <f>P2_TaskV_Valuation!C44</f>
        <v>0.4</v>
      </c>
      <c r="E44" s="46">
        <f>P2_TaskV_Valuation!D44</f>
        <v>1.6219178082191781</v>
      </c>
      <c r="F44" s="47">
        <f>P2_TaskV_Valuation!O44</f>
        <v>1.3360050803583325E-2</v>
      </c>
      <c r="G44" s="47">
        <f>P2_TaskV_Valuation!P44</f>
        <v>0.50941814780695482</v>
      </c>
      <c r="H44" s="47">
        <f>P2_TaskV_Valuation!Q44</f>
        <v>-0.41649968247760427</v>
      </c>
      <c r="I44" s="36">
        <f>P2_TaskV_Valuation!AB44</f>
        <v>1585.9557476323505</v>
      </c>
      <c r="J44" s="22">
        <f t="shared" si="24"/>
        <v>1773.5095000000001</v>
      </c>
      <c r="K44" s="28">
        <f t="shared" si="25"/>
        <v>6.1316033607575315E-2</v>
      </c>
      <c r="L44" s="28">
        <f t="shared" si="26"/>
        <v>1.3262042578776967</v>
      </c>
      <c r="M44" s="28">
        <f t="shared" si="27"/>
        <v>-1.99660118015376</v>
      </c>
      <c r="N44" s="28">
        <f t="shared" si="28"/>
        <v>-0.73171295588363883</v>
      </c>
      <c r="O44" s="28">
        <f t="shared" si="29"/>
        <v>469.08330390838455</v>
      </c>
      <c r="P44" s="28">
        <f t="shared" si="30"/>
        <v>238.99057150423337</v>
      </c>
      <c r="Q44" s="28">
        <f t="shared" si="31"/>
        <v>-3.5383801703311235</v>
      </c>
      <c r="R44" s="28">
        <f t="shared" si="32"/>
        <v>100.5761937385189</v>
      </c>
      <c r="S44" s="22">
        <f t="shared" si="33"/>
        <v>1595.0697784634274</v>
      </c>
      <c r="T44" s="22">
        <f t="shared" si="34"/>
        <v>1738.3905</v>
      </c>
      <c r="U44" s="28">
        <f t="shared" si="35"/>
        <v>2.2054246816561929E-2</v>
      </c>
      <c r="V44" s="28">
        <f t="shared" si="36"/>
        <v>1.2869424710866835</v>
      </c>
      <c r="W44" s="28">
        <f t="shared" si="37"/>
        <v>-1.957339393362747</v>
      </c>
      <c r="X44" s="28">
        <f t="shared" si="38"/>
        <v>-0.69245116909262561</v>
      </c>
      <c r="Y44" s="28">
        <f t="shared" si="39"/>
        <v>485.89367791018833</v>
      </c>
      <c r="Z44" s="28">
        <f t="shared" si="40"/>
        <v>252.81295795774506</v>
      </c>
      <c r="AA44" s="28">
        <f t="shared" si="41"/>
        <v>-3.9348215971828395</v>
      </c>
      <c r="AB44" s="28">
        <f t="shared" si="42"/>
        <v>104.81316607554729</v>
      </c>
      <c r="AC44" s="22">
        <f t="shared" si="43"/>
        <v>1576.6139782460355</v>
      </c>
      <c r="AD44" s="43">
        <f t="shared" si="44"/>
        <v>0.52552180350784261</v>
      </c>
      <c r="AE44" s="22">
        <f t="shared" si="45"/>
        <v>922.79001086959624</v>
      </c>
      <c r="AF44" s="22">
        <f t="shared" si="46"/>
        <v>663.16573676275425</v>
      </c>
      <c r="AG44" s="30">
        <f t="shared" si="47"/>
        <v>0.58185104612610761</v>
      </c>
    </row>
    <row r="45" spans="1:33" x14ac:dyDescent="0.2">
      <c r="A45" s="35">
        <f>P2_TaskV_Valuation!A45</f>
        <v>45965</v>
      </c>
      <c r="B45" s="36">
        <f>P2_TaskV_Valuation!B45</f>
        <v>1711.89</v>
      </c>
      <c r="C45" s="45">
        <f>P2_TaskV_Valuation!N45</f>
        <v>1.9307610660408505E-2</v>
      </c>
      <c r="D45" s="37">
        <f>P2_TaskV_Valuation!C45</f>
        <v>0.4</v>
      </c>
      <c r="E45" s="46">
        <f>P2_TaskV_Valuation!D45</f>
        <v>1.6191780821917807</v>
      </c>
      <c r="F45" s="47">
        <f>P2_TaskV_Valuation!O45</f>
        <v>1.3307610660408505E-2</v>
      </c>
      <c r="G45" s="47">
        <f>P2_TaskV_Valuation!P45</f>
        <v>0.50898771414513033</v>
      </c>
      <c r="H45" s="47">
        <f>P2_TaskV_Valuation!Q45</f>
        <v>-0.41682743337244688</v>
      </c>
      <c r="I45" s="36">
        <f>P2_TaskV_Valuation!AB45</f>
        <v>1562.6829079722793</v>
      </c>
      <c r="J45" s="22">
        <f t="shared" si="24"/>
        <v>1729.0089</v>
      </c>
      <c r="K45" s="28">
        <f t="shared" si="25"/>
        <v>1.0771992216513426E-2</v>
      </c>
      <c r="L45" s="28">
        <f t="shared" si="26"/>
        <v>1.2767298895947288</v>
      </c>
      <c r="M45" s="28">
        <f t="shared" si="27"/>
        <v>-1.9490324436931303</v>
      </c>
      <c r="N45" s="28">
        <f t="shared" si="28"/>
        <v>-0.68307454631491482</v>
      </c>
      <c r="O45" s="28">
        <f t="shared" si="29"/>
        <v>490.35373138707166</v>
      </c>
      <c r="P45" s="28">
        <f t="shared" si="30"/>
        <v>256.33372132444879</v>
      </c>
      <c r="Q45" s="28">
        <f t="shared" si="31"/>
        <v>-4.0228608920874045</v>
      </c>
      <c r="R45" s="28">
        <f t="shared" si="32"/>
        <v>105.9457685483203</v>
      </c>
      <c r="S45" s="22">
        <f t="shared" si="33"/>
        <v>1572.1399650445023</v>
      </c>
      <c r="T45" s="22">
        <f t="shared" si="34"/>
        <v>1694.7711000000002</v>
      </c>
      <c r="U45" s="28">
        <f t="shared" si="35"/>
        <v>-2.852299693712762E-2</v>
      </c>
      <c r="V45" s="28">
        <f t="shared" si="36"/>
        <v>1.2374349004410878</v>
      </c>
      <c r="W45" s="28">
        <f t="shared" si="37"/>
        <v>-1.9097374545394892</v>
      </c>
      <c r="X45" s="28">
        <f t="shared" si="38"/>
        <v>-0.64377955716127377</v>
      </c>
      <c r="Y45" s="28">
        <f t="shared" si="39"/>
        <v>507.42628780454424</v>
      </c>
      <c r="Z45" s="28">
        <f t="shared" si="40"/>
        <v>270.78317554067507</v>
      </c>
      <c r="AA45" s="28">
        <f t="shared" si="41"/>
        <v>-4.4669517045063856</v>
      </c>
      <c r="AB45" s="28">
        <f t="shared" si="42"/>
        <v>110.19322301043724</v>
      </c>
      <c r="AC45" s="22">
        <f t="shared" si="43"/>
        <v>1552.9989655537399</v>
      </c>
      <c r="AD45" s="43">
        <f t="shared" si="44"/>
        <v>0.55906043877709422</v>
      </c>
      <c r="AE45" s="22">
        <f t="shared" si="45"/>
        <v>957.04997453811984</v>
      </c>
      <c r="AF45" s="22">
        <f t="shared" si="46"/>
        <v>605.63293343415944</v>
      </c>
      <c r="AG45" s="30">
        <f t="shared" si="47"/>
        <v>0.61244029076889162</v>
      </c>
    </row>
    <row r="46" spans="1:33" x14ac:dyDescent="0.2">
      <c r="A46" s="35">
        <f>P2_TaskV_Valuation!A46</f>
        <v>45966</v>
      </c>
      <c r="B46" s="36">
        <f>P2_TaskV_Valuation!B46</f>
        <v>1690.11</v>
      </c>
      <c r="C46" s="45">
        <f>P2_TaskV_Valuation!N46</f>
        <v>1.9285805122648852E-2</v>
      </c>
      <c r="D46" s="37">
        <f>P2_TaskV_Valuation!C46</f>
        <v>0.39100000000000001</v>
      </c>
      <c r="E46" s="46">
        <f>P2_TaskV_Valuation!D46</f>
        <v>1.6164383561643836</v>
      </c>
      <c r="F46" s="47">
        <f>P2_TaskV_Valuation!O46</f>
        <v>1.3285805122648852E-2</v>
      </c>
      <c r="G46" s="47">
        <f>P2_TaskV_Valuation!P46</f>
        <v>0.49711438555805959</v>
      </c>
      <c r="H46" s="47">
        <f>P2_TaskV_Valuation!Q46</f>
        <v>-0.41309708124195388</v>
      </c>
      <c r="I46" s="36">
        <f>P2_TaskV_Valuation!AB46</f>
        <v>1564.0407537494937</v>
      </c>
      <c r="J46" s="22">
        <f t="shared" si="24"/>
        <v>1707.0110999999999</v>
      </c>
      <c r="K46" s="28">
        <f t="shared" si="25"/>
        <v>-2.6887560214972905E-2</v>
      </c>
      <c r="L46" s="28">
        <f t="shared" si="26"/>
        <v>1.269307108678303</v>
      </c>
      <c r="M46" s="28">
        <f t="shared" si="27"/>
        <v>-1.981986009890303</v>
      </c>
      <c r="N46" s="28">
        <f t="shared" si="28"/>
        <v>-0.6857913409970271</v>
      </c>
      <c r="O46" s="28">
        <f t="shared" si="29"/>
        <v>493.36133765507066</v>
      </c>
      <c r="P46" s="28">
        <f t="shared" si="30"/>
        <v>253.78031640721085</v>
      </c>
      <c r="Q46" s="28">
        <f t="shared" si="31"/>
        <v>-3.6125815279176798</v>
      </c>
      <c r="R46" s="28">
        <f t="shared" si="32"/>
        <v>107.50792306097409</v>
      </c>
      <c r="S46" s="22">
        <f t="shared" si="33"/>
        <v>1573.7123660918521</v>
      </c>
      <c r="T46" s="22">
        <f t="shared" si="34"/>
        <v>1673.2088999999999</v>
      </c>
      <c r="U46" s="28">
        <f t="shared" si="35"/>
        <v>-6.7121090540627815E-2</v>
      </c>
      <c r="V46" s="28">
        <f t="shared" si="36"/>
        <v>1.2290735783526479</v>
      </c>
      <c r="W46" s="28">
        <f t="shared" si="37"/>
        <v>-1.9417524795646479</v>
      </c>
      <c r="X46" s="28">
        <f t="shared" si="38"/>
        <v>-0.64555781067137197</v>
      </c>
      <c r="Y46" s="28">
        <f t="shared" si="39"/>
        <v>510.72588599691244</v>
      </c>
      <c r="Z46" s="28">
        <f t="shared" si="40"/>
        <v>268.46114247057307</v>
      </c>
      <c r="AA46" s="28">
        <f t="shared" si="41"/>
        <v>-4.0262244549664103</v>
      </c>
      <c r="AB46" s="28">
        <f t="shared" si="42"/>
        <v>111.99257014323337</v>
      </c>
      <c r="AC46" s="22">
        <f t="shared" si="43"/>
        <v>1554.1332500191818</v>
      </c>
      <c r="AD46" s="43">
        <f t="shared" si="44"/>
        <v>0.57922608802593711</v>
      </c>
      <c r="AE46" s="22">
        <f t="shared" si="45"/>
        <v>978.95580363351655</v>
      </c>
      <c r="AF46" s="22">
        <f t="shared" si="46"/>
        <v>585.08495011597711</v>
      </c>
      <c r="AG46" s="30">
        <f t="shared" si="47"/>
        <v>0.62591451104240992</v>
      </c>
    </row>
    <row r="47" spans="1:33" x14ac:dyDescent="0.2">
      <c r="A47" s="35">
        <f>P2_TaskV_Valuation!A47</f>
        <v>45967</v>
      </c>
      <c r="B47" s="36">
        <f>P2_TaskV_Valuation!B47</f>
        <v>1691.1</v>
      </c>
      <c r="C47" s="45">
        <f>P2_TaskV_Valuation!N47</f>
        <v>1.9391381635744786E-2</v>
      </c>
      <c r="D47" s="37">
        <f>P2_TaskV_Valuation!C47</f>
        <v>0.379</v>
      </c>
      <c r="E47" s="46">
        <f>P2_TaskV_Valuation!D47</f>
        <v>1.6136986301369862</v>
      </c>
      <c r="F47" s="47">
        <f>P2_TaskV_Valuation!O47</f>
        <v>1.3391381635744786E-2</v>
      </c>
      <c r="G47" s="47">
        <f>P2_TaskV_Valuation!P47</f>
        <v>0.48144915093030005</v>
      </c>
      <c r="H47" s="47">
        <f>P2_TaskV_Valuation!Q47</f>
        <v>-0.40677187129200726</v>
      </c>
      <c r="I47" s="36">
        <f>P2_TaskV_Valuation!AB47</f>
        <v>1582.9486473929342</v>
      </c>
      <c r="J47" s="22">
        <f t="shared" si="24"/>
        <v>1708.011</v>
      </c>
      <c r="K47" s="28">
        <f t="shared" si="25"/>
        <v>-4.2187940776365396E-2</v>
      </c>
      <c r="L47" s="28">
        <f t="shared" si="26"/>
        <v>1.2961818852902667</v>
      </c>
      <c r="M47" s="28">
        <f t="shared" si="27"/>
        <v>-2.0633333536080309</v>
      </c>
      <c r="N47" s="28">
        <f t="shared" si="28"/>
        <v>-0.72496352754139859</v>
      </c>
      <c r="O47" s="28">
        <f t="shared" si="29"/>
        <v>482.11703365063829</v>
      </c>
      <c r="P47" s="28">
        <f t="shared" si="30"/>
        <v>237.58059124256815</v>
      </c>
      <c r="Q47" s="28">
        <f t="shared" si="31"/>
        <v>-2.8135699184531067</v>
      </c>
      <c r="R47" s="28">
        <f t="shared" si="32"/>
        <v>105.33596950171335</v>
      </c>
      <c r="S47" s="22">
        <f t="shared" si="33"/>
        <v>1592.655222954048</v>
      </c>
      <c r="T47" s="22">
        <f t="shared" si="34"/>
        <v>1674.1889999999999</v>
      </c>
      <c r="U47" s="28">
        <f t="shared" si="35"/>
        <v>-8.3730576521017619E-2</v>
      </c>
      <c r="V47" s="28">
        <f t="shared" si="36"/>
        <v>1.2546392495456142</v>
      </c>
      <c r="W47" s="28">
        <f t="shared" si="37"/>
        <v>-2.0217907178633783</v>
      </c>
      <c r="X47" s="28">
        <f t="shared" si="38"/>
        <v>-0.68342089179674659</v>
      </c>
      <c r="Y47" s="28">
        <f t="shared" si="39"/>
        <v>499.70487443786726</v>
      </c>
      <c r="Z47" s="28">
        <f t="shared" si="40"/>
        <v>252.10034535979727</v>
      </c>
      <c r="AA47" s="28">
        <f t="shared" si="41"/>
        <v>-3.1562277007980057</v>
      </c>
      <c r="AB47" s="28">
        <f t="shared" si="42"/>
        <v>110.13666216390422</v>
      </c>
      <c r="AC47" s="22">
        <f t="shared" si="43"/>
        <v>1572.9921183922827</v>
      </c>
      <c r="AD47" s="43">
        <f t="shared" si="44"/>
        <v>0.58137024900258105</v>
      </c>
      <c r="AE47" s="22">
        <f t="shared" si="45"/>
        <v>983.15522808826472</v>
      </c>
      <c r="AF47" s="22">
        <f t="shared" si="46"/>
        <v>599.79341930466944</v>
      </c>
      <c r="AG47" s="30">
        <f t="shared" si="47"/>
        <v>0.6210910440509172</v>
      </c>
    </row>
    <row r="48" spans="1:33" x14ac:dyDescent="0.2">
      <c r="A48" s="35">
        <f>P2_TaskV_Valuation!A48</f>
        <v>45968</v>
      </c>
      <c r="B48" s="36">
        <f>P2_TaskV_Valuation!B48</f>
        <v>1731.69</v>
      </c>
      <c r="C48" s="45">
        <f>P2_TaskV_Valuation!N48</f>
        <v>1.9493171466522147E-2</v>
      </c>
      <c r="D48" s="37">
        <f>P2_TaskV_Valuation!C48</f>
        <v>0.379</v>
      </c>
      <c r="E48" s="46">
        <f>P2_TaskV_Valuation!D48</f>
        <v>1.6109589041095891</v>
      </c>
      <c r="F48" s="47">
        <f>P2_TaskV_Valuation!O48</f>
        <v>1.3493171466522147E-2</v>
      </c>
      <c r="G48" s="47">
        <f>P2_TaskV_Valuation!P48</f>
        <v>0.48104027684301598</v>
      </c>
      <c r="H48" s="47">
        <f>P2_TaskV_Valuation!Q48</f>
        <v>-0.40606323078701662</v>
      </c>
      <c r="I48" s="36">
        <f>P2_TaskV_Valuation!AB48</f>
        <v>1606.2481225142392</v>
      </c>
      <c r="J48" s="22">
        <f t="shared" si="24"/>
        <v>1749.0069000000001</v>
      </c>
      <c r="K48" s="28">
        <f t="shared" si="25"/>
        <v>6.9386690308125831E-3</v>
      </c>
      <c r="L48" s="28">
        <f t="shared" si="26"/>
        <v>1.3464460812153323</v>
      </c>
      <c r="M48" s="28">
        <f t="shared" si="27"/>
        <v>-2.1145384776209326</v>
      </c>
      <c r="N48" s="28">
        <f t="shared" si="28"/>
        <v>-0.77503106543641254</v>
      </c>
      <c r="O48" s="28">
        <f t="shared" si="29"/>
        <v>461.09055396786357</v>
      </c>
      <c r="P48" s="28">
        <f t="shared" si="30"/>
        <v>220.55604915220758</v>
      </c>
      <c r="Q48" s="28">
        <f t="shared" si="31"/>
        <v>-2.4340112914367698</v>
      </c>
      <c r="R48" s="28">
        <f t="shared" si="32"/>
        <v>99.593423570789469</v>
      </c>
      <c r="S48" s="22">
        <f t="shared" si="33"/>
        <v>1615.5870073057326</v>
      </c>
      <c r="T48" s="22">
        <f t="shared" si="34"/>
        <v>1714.3731</v>
      </c>
      <c r="U48" s="28">
        <f t="shared" si="35"/>
        <v>-3.4639277077838704E-2</v>
      </c>
      <c r="V48" s="28">
        <f t="shared" si="36"/>
        <v>1.3048681351066811</v>
      </c>
      <c r="W48" s="28">
        <f t="shared" si="37"/>
        <v>-2.0729605315122805</v>
      </c>
      <c r="X48" s="28">
        <f t="shared" si="38"/>
        <v>-0.73345311932776136</v>
      </c>
      <c r="Y48" s="28">
        <f t="shared" si="39"/>
        <v>478.42943883984185</v>
      </c>
      <c r="Z48" s="28">
        <f t="shared" si="40"/>
        <v>234.41732208730667</v>
      </c>
      <c r="AA48" s="28">
        <f t="shared" si="41"/>
        <v>-2.7356724210199523</v>
      </c>
      <c r="AB48" s="28">
        <f t="shared" si="42"/>
        <v>104.35922483198092</v>
      </c>
      <c r="AC48" s="22">
        <f t="shared" si="43"/>
        <v>1596.6582719798589</v>
      </c>
      <c r="AD48" s="43">
        <f t="shared" si="44"/>
        <v>0.54653937269008113</v>
      </c>
      <c r="AE48" s="22">
        <f t="shared" si="45"/>
        <v>946.43676629368656</v>
      </c>
      <c r="AF48" s="22">
        <f t="shared" si="46"/>
        <v>659.81135622055263</v>
      </c>
      <c r="AG48" s="30">
        <f t="shared" si="47"/>
        <v>0.58922202182078909</v>
      </c>
    </row>
    <row r="49" spans="1:33" x14ac:dyDescent="0.2">
      <c r="A49" s="35">
        <f>P2_TaskV_Valuation!A49</f>
        <v>45971</v>
      </c>
      <c r="B49" s="36">
        <f>P2_TaskV_Valuation!B49</f>
        <v>1769.31</v>
      </c>
      <c r="C49" s="45">
        <f>P2_TaskV_Valuation!N49</f>
        <v>1.9488913848253697E-2</v>
      </c>
      <c r="D49" s="37">
        <f>P2_TaskV_Valuation!C49</f>
        <v>0.377</v>
      </c>
      <c r="E49" s="46">
        <f>P2_TaskV_Valuation!D49</f>
        <v>1.6027397260273972</v>
      </c>
      <c r="F49" s="47">
        <f>P2_TaskV_Valuation!O49</f>
        <v>1.3488913848253696E-2</v>
      </c>
      <c r="G49" s="47">
        <f>P2_TaskV_Valuation!P49</f>
        <v>0.47727957689445288</v>
      </c>
      <c r="H49" s="47">
        <f>P2_TaskV_Valuation!Q49</f>
        <v>-0.40509386649977347</v>
      </c>
      <c r="I49" s="36">
        <f>P2_TaskV_Valuation!AB49</f>
        <v>1630.904668871827</v>
      </c>
      <c r="J49" s="22">
        <f t="shared" si="24"/>
        <v>1787.0030999999999</v>
      </c>
      <c r="K49" s="28">
        <f t="shared" si="25"/>
        <v>4.8001018316603805E-2</v>
      </c>
      <c r="L49" s="28">
        <f t="shared" si="26"/>
        <v>1.3980630104579697</v>
      </c>
      <c r="M49" s="28">
        <f t="shared" si="27"/>
        <v>-2.1802519072215296</v>
      </c>
      <c r="N49" s="28">
        <f t="shared" si="28"/>
        <v>-0.83018991508016349</v>
      </c>
      <c r="O49" s="28">
        <f t="shared" si="29"/>
        <v>440.23758947198439</v>
      </c>
      <c r="P49" s="28">
        <f t="shared" si="30"/>
        <v>202.73442107702223</v>
      </c>
      <c r="Q49" s="28">
        <f t="shared" si="31"/>
        <v>-2.0058137444920217</v>
      </c>
      <c r="R49" s="28">
        <f t="shared" si="32"/>
        <v>93.853774958002276</v>
      </c>
      <c r="S49" s="22">
        <f t="shared" si="33"/>
        <v>1639.9002638793484</v>
      </c>
      <c r="T49" s="22">
        <f t="shared" si="34"/>
        <v>1751.6169</v>
      </c>
      <c r="U49" s="28">
        <f t="shared" si="35"/>
        <v>6.0954609139400873E-3</v>
      </c>
      <c r="V49" s="28">
        <f t="shared" si="36"/>
        <v>1.3561574530553062</v>
      </c>
      <c r="W49" s="28">
        <f t="shared" si="37"/>
        <v>-2.1383463498188662</v>
      </c>
      <c r="X49" s="28">
        <f t="shared" si="38"/>
        <v>-0.78828435767750027</v>
      </c>
      <c r="Y49" s="28">
        <f t="shared" si="39"/>
        <v>457.38227091902922</v>
      </c>
      <c r="Z49" s="28">
        <f t="shared" si="40"/>
        <v>215.95554848389463</v>
      </c>
      <c r="AA49" s="28">
        <f t="shared" si="41"/>
        <v>-2.2617672047630464</v>
      </c>
      <c r="AB49" s="28">
        <f t="shared" si="42"/>
        <v>98.621770730594875</v>
      </c>
      <c r="AC49" s="22">
        <f t="shared" si="43"/>
        <v>1621.6551872396124</v>
      </c>
      <c r="AD49" s="43">
        <f t="shared" si="44"/>
        <v>0.51559864127077781</v>
      </c>
      <c r="AE49" s="22">
        <f t="shared" si="45"/>
        <v>912.25383198679981</v>
      </c>
      <c r="AF49" s="22">
        <f t="shared" si="46"/>
        <v>718.65083688502716</v>
      </c>
      <c r="AG49" s="30">
        <f t="shared" si="47"/>
        <v>0.55935447938710514</v>
      </c>
    </row>
    <row r="50" spans="1:33" x14ac:dyDescent="0.2">
      <c r="A50" s="35">
        <f>P2_TaskV_Valuation!A50</f>
        <v>45972</v>
      </c>
      <c r="B50" s="36">
        <f>P2_TaskV_Valuation!B50</f>
        <v>1714.36</v>
      </c>
      <c r="C50" s="45">
        <f>P2_TaskV_Valuation!N50</f>
        <v>1.948470111162641E-2</v>
      </c>
      <c r="D50" s="37">
        <f>P2_TaskV_Valuation!C50</f>
        <v>0.38500000000000001</v>
      </c>
      <c r="E50" s="46">
        <f>P2_TaskV_Valuation!D50</f>
        <v>1.6</v>
      </c>
      <c r="F50" s="47">
        <f>P2_TaskV_Valuation!O50</f>
        <v>1.3484701111626409E-2</v>
      </c>
      <c r="G50" s="47">
        <f>P2_TaskV_Valuation!P50</f>
        <v>0.48699075966593042</v>
      </c>
      <c r="H50" s="47">
        <f>P2_TaskV_Valuation!Q50</f>
        <v>-0.40902546053886718</v>
      </c>
      <c r="I50" s="36">
        <f>P2_TaskV_Valuation!AB50</f>
        <v>1589.809591508164</v>
      </c>
      <c r="J50" s="22">
        <f t="shared" si="24"/>
        <v>1731.5036</v>
      </c>
      <c r="K50" s="28">
        <f t="shared" si="25"/>
        <v>-8.2167776730742159E-3</v>
      </c>
      <c r="L50" s="28">
        <f t="shared" si="26"/>
        <v>1.3149233509661924</v>
      </c>
      <c r="M50" s="28">
        <f t="shared" si="27"/>
        <v>-2.0624651997746586</v>
      </c>
      <c r="N50" s="28">
        <f t="shared" si="28"/>
        <v>-0.7393250711353917</v>
      </c>
      <c r="O50" s="28">
        <f t="shared" si="29"/>
        <v>474.09981689626898</v>
      </c>
      <c r="P50" s="28">
        <f t="shared" si="30"/>
        <v>233.5286043201036</v>
      </c>
      <c r="Q50" s="28">
        <f t="shared" si="31"/>
        <v>-2.8473912002361672</v>
      </c>
      <c r="R50" s="28">
        <f t="shared" si="32"/>
        <v>102.93379913557027</v>
      </c>
      <c r="S50" s="22">
        <f t="shared" si="33"/>
        <v>1599.3010532081005</v>
      </c>
      <c r="T50" s="22">
        <f t="shared" si="34"/>
        <v>1697.2163999999998</v>
      </c>
      <c r="U50" s="28">
        <f t="shared" si="35"/>
        <v>-4.9286687747733038E-2</v>
      </c>
      <c r="V50" s="28">
        <f t="shared" si="36"/>
        <v>1.2738534408915334</v>
      </c>
      <c r="W50" s="28">
        <f t="shared" si="37"/>
        <v>-2.0213952896999992</v>
      </c>
      <c r="X50" s="28">
        <f t="shared" si="38"/>
        <v>-0.6982551610607326</v>
      </c>
      <c r="Y50" s="28">
        <f t="shared" si="39"/>
        <v>491.46814419711461</v>
      </c>
      <c r="Z50" s="28">
        <f t="shared" si="40"/>
        <v>247.73940314778434</v>
      </c>
      <c r="AA50" s="28">
        <f t="shared" si="41"/>
        <v>-3.1897213433121188</v>
      </c>
      <c r="AB50" s="28">
        <f t="shared" si="42"/>
        <v>107.60912420638263</v>
      </c>
      <c r="AC50" s="22">
        <f t="shared" si="43"/>
        <v>1580.0725991665315</v>
      </c>
      <c r="AD50" s="43">
        <f t="shared" si="44"/>
        <v>0.56080560796941614</v>
      </c>
      <c r="AE50" s="22">
        <f t="shared" si="45"/>
        <v>961.4227020784482</v>
      </c>
      <c r="AF50" s="22">
        <f t="shared" si="46"/>
        <v>628.38688942971578</v>
      </c>
      <c r="AG50" s="30">
        <f t="shared" si="47"/>
        <v>0.60474078607514248</v>
      </c>
    </row>
    <row r="51" spans="1:33" x14ac:dyDescent="0.2">
      <c r="A51" s="35">
        <f>P2_TaskV_Valuation!A51</f>
        <v>45973</v>
      </c>
      <c r="B51" s="36">
        <f>P2_TaskV_Valuation!B51</f>
        <v>1727.73</v>
      </c>
      <c r="C51" s="45">
        <f>P2_TaskV_Valuation!N51</f>
        <v>1.9543718193887411E-2</v>
      </c>
      <c r="D51" s="37">
        <f>P2_TaskV_Valuation!C51</f>
        <v>0.375</v>
      </c>
      <c r="E51" s="46">
        <f>P2_TaskV_Valuation!D51</f>
        <v>1.5972602739726027</v>
      </c>
      <c r="F51" s="47">
        <f>P2_TaskV_Valuation!O51</f>
        <v>1.3543718193887411E-2</v>
      </c>
      <c r="G51" s="47">
        <f>P2_TaskV_Valuation!P51</f>
        <v>0.47393536060036423</v>
      </c>
      <c r="H51" s="47">
        <f>P2_TaskV_Valuation!Q51</f>
        <v>-0.40368911506568955</v>
      </c>
      <c r="I51" s="36">
        <f>P2_TaskV_Valuation!AB51</f>
        <v>1612.8242474556209</v>
      </c>
      <c r="J51" s="22">
        <f t="shared" si="24"/>
        <v>1745.0073</v>
      </c>
      <c r="K51" s="28">
        <f t="shared" si="25"/>
        <v>-5.1657582237376598E-3</v>
      </c>
      <c r="L51" s="28">
        <f t="shared" si="26"/>
        <v>1.3544226370676899</v>
      </c>
      <c r="M51" s="28">
        <f t="shared" si="27"/>
        <v>-2.1487854037965883</v>
      </c>
      <c r="N51" s="28">
        <f t="shared" si="28"/>
        <v>-0.78919700850516072</v>
      </c>
      <c r="O51" s="28">
        <f t="shared" si="29"/>
        <v>458.34105751795721</v>
      </c>
      <c r="P51" s="28">
        <f t="shared" si="30"/>
        <v>215.20786085111965</v>
      </c>
      <c r="Q51" s="28">
        <f t="shared" si="31"/>
        <v>-2.1827119057677056</v>
      </c>
      <c r="R51" s="28">
        <f t="shared" si="32"/>
        <v>98.93887575077764</v>
      </c>
      <c r="S51" s="22">
        <f t="shared" si="33"/>
        <v>1622.2021449464698</v>
      </c>
      <c r="T51" s="22">
        <f t="shared" si="34"/>
        <v>1710.4527</v>
      </c>
      <c r="U51" s="28">
        <f t="shared" si="35"/>
        <v>-4.7367012591703173E-2</v>
      </c>
      <c r="V51" s="28">
        <f t="shared" si="36"/>
        <v>1.3122213826997244</v>
      </c>
      <c r="W51" s="28">
        <f t="shared" si="37"/>
        <v>-2.106584149428623</v>
      </c>
      <c r="X51" s="28">
        <f t="shared" si="38"/>
        <v>-0.74699575413719499</v>
      </c>
      <c r="Y51" s="28">
        <f t="shared" si="39"/>
        <v>475.81117872858442</v>
      </c>
      <c r="Z51" s="28">
        <f t="shared" si="40"/>
        <v>229.04548750462672</v>
      </c>
      <c r="AA51" s="28">
        <f t="shared" si="41"/>
        <v>-2.4606439997614853</v>
      </c>
      <c r="AB51" s="28">
        <f t="shared" si="42"/>
        <v>103.83652432831542</v>
      </c>
      <c r="AC51" s="22">
        <f t="shared" si="43"/>
        <v>1603.1889376214315</v>
      </c>
      <c r="AD51" s="43">
        <f t="shared" si="44"/>
        <v>0.55023664939077188</v>
      </c>
      <c r="AE51" s="22">
        <f t="shared" si="45"/>
        <v>950.66036625191828</v>
      </c>
      <c r="AF51" s="22">
        <f t="shared" si="46"/>
        <v>662.16388120370266</v>
      </c>
      <c r="AG51" s="30">
        <f t="shared" si="47"/>
        <v>0.58943828985189972</v>
      </c>
    </row>
    <row r="52" spans="1:33" x14ac:dyDescent="0.2">
      <c r="A52" s="35">
        <f>P2_TaskV_Valuation!A52</f>
        <v>45974</v>
      </c>
      <c r="B52" s="36">
        <f>P2_TaskV_Valuation!B52</f>
        <v>1733.18</v>
      </c>
      <c r="C52" s="45">
        <f>P2_TaskV_Valuation!N52</f>
        <v>1.9668187358611634E-2</v>
      </c>
      <c r="D52" s="37">
        <f>P2_TaskV_Valuation!C52</f>
        <v>0.36399999999999999</v>
      </c>
      <c r="E52" s="46">
        <f>P2_TaskV_Valuation!D52</f>
        <v>1.5945205479452054</v>
      </c>
      <c r="F52" s="47">
        <f>P2_TaskV_Valuation!O52</f>
        <v>1.3668187358611633E-2</v>
      </c>
      <c r="G52" s="47">
        <f>P2_TaskV_Valuation!P52</f>
        <v>0.45963854768779777</v>
      </c>
      <c r="H52" s="47">
        <f>P2_TaskV_Valuation!Q52</f>
        <v>-0.39684075475024427</v>
      </c>
      <c r="I52" s="36">
        <f>P2_TaskV_Valuation!AB52</f>
        <v>1633.1329314483557</v>
      </c>
      <c r="J52" s="22">
        <f t="shared" si="24"/>
        <v>1750.5118</v>
      </c>
      <c r="K52" s="28">
        <f t="shared" si="25"/>
        <v>-1.2642489215507147E-2</v>
      </c>
      <c r="L52" s="28">
        <f t="shared" si="26"/>
        <v>1.3892351810363419</v>
      </c>
      <c r="M52" s="28">
        <f t="shared" si="27"/>
        <v>-2.2366423722660587</v>
      </c>
      <c r="N52" s="28">
        <f t="shared" si="28"/>
        <v>-0.83476470201420994</v>
      </c>
      <c r="O52" s="28">
        <f t="shared" si="29"/>
        <v>445.51640445902615</v>
      </c>
      <c r="P52" s="28">
        <f t="shared" si="30"/>
        <v>198.85900931683997</v>
      </c>
      <c r="Q52" s="28">
        <f t="shared" si="31"/>
        <v>-1.6488013992958965</v>
      </c>
      <c r="R52" s="28">
        <f t="shared" si="32"/>
        <v>95.306012771593799</v>
      </c>
      <c r="S52" s="22">
        <f t="shared" si="33"/>
        <v>1642.4368501683703</v>
      </c>
      <c r="T52" s="22">
        <f t="shared" si="34"/>
        <v>1715.8482000000001</v>
      </c>
      <c r="U52" s="28">
        <f t="shared" si="35"/>
        <v>-5.6156391187572652E-2</v>
      </c>
      <c r="V52" s="28">
        <f t="shared" si="36"/>
        <v>1.3457212790642763</v>
      </c>
      <c r="W52" s="28">
        <f t="shared" si="37"/>
        <v>-2.1931284702939937</v>
      </c>
      <c r="X52" s="28">
        <f t="shared" si="38"/>
        <v>-0.79125080004214432</v>
      </c>
      <c r="Y52" s="28">
        <f t="shared" si="39"/>
        <v>463.1532295908238</v>
      </c>
      <c r="Z52" s="28">
        <f t="shared" si="40"/>
        <v>212.38734121266509</v>
      </c>
      <c r="AA52" s="28">
        <f t="shared" si="41"/>
        <v>-1.872063121741995</v>
      </c>
      <c r="AB52" s="28">
        <f t="shared" si="42"/>
        <v>100.43298094655438</v>
      </c>
      <c r="AC52" s="22">
        <f t="shared" si="43"/>
        <v>1623.5582883751385</v>
      </c>
      <c r="AD52" s="43">
        <f t="shared" si="44"/>
        <v>0.54462207598840595</v>
      </c>
      <c r="AE52" s="22">
        <f t="shared" si="45"/>
        <v>943.92808966158543</v>
      </c>
      <c r="AF52" s="22">
        <f t="shared" si="46"/>
        <v>689.20484178677032</v>
      </c>
      <c r="AG52" s="30">
        <f t="shared" si="47"/>
        <v>0.57798607295516113</v>
      </c>
    </row>
    <row r="53" spans="1:33" x14ac:dyDescent="0.2">
      <c r="A53" s="35">
        <f>P2_TaskV_Valuation!A53</f>
        <v>45975</v>
      </c>
      <c r="B53" s="36">
        <f>P2_TaskV_Valuation!B53</f>
        <v>1709.91</v>
      </c>
      <c r="C53" s="45">
        <f>P2_TaskV_Valuation!N53</f>
        <v>1.9581019581808148E-2</v>
      </c>
      <c r="D53" s="37">
        <f>P2_TaskV_Valuation!C53</f>
        <v>0.35599999999999998</v>
      </c>
      <c r="E53" s="46">
        <f>P2_TaskV_Valuation!D53</f>
        <v>1.5917808219178082</v>
      </c>
      <c r="F53" s="47">
        <f>P2_TaskV_Valuation!O53</f>
        <v>1.3581019581808148E-2</v>
      </c>
      <c r="G53" s="47">
        <f>P2_TaskV_Valuation!P53</f>
        <v>0.44915023571915819</v>
      </c>
      <c r="H53" s="47">
        <f>P2_TaskV_Valuation!Q53</f>
        <v>-0.39284008031018691</v>
      </c>
      <c r="I53" s="36">
        <f>P2_TaskV_Valuation!AB53</f>
        <v>1633.4093476815221</v>
      </c>
      <c r="J53" s="22">
        <f t="shared" si="24"/>
        <v>1727.0091</v>
      </c>
      <c r="K53" s="28">
        <f t="shared" si="25"/>
        <v>-5.4035680247803752E-2</v>
      </c>
      <c r="L53" s="28">
        <f t="shared" si="26"/>
        <v>1.3805778747441002</v>
      </c>
      <c r="M53" s="28">
        <f t="shared" si="27"/>
        <v>-2.2697793876401953</v>
      </c>
      <c r="N53" s="28">
        <f t="shared" si="28"/>
        <v>-0.83516583264829092</v>
      </c>
      <c r="O53" s="28">
        <f t="shared" si="29"/>
        <v>450.50423312991245</v>
      </c>
      <c r="P53" s="28">
        <f t="shared" si="30"/>
        <v>197.65732621441353</v>
      </c>
      <c r="Q53" s="28">
        <f t="shared" si="31"/>
        <v>-1.468282718747723</v>
      </c>
      <c r="R53" s="28">
        <f t="shared" si="32"/>
        <v>96.559517109113642</v>
      </c>
      <c r="S53" s="22">
        <f t="shared" si="33"/>
        <v>1642.9389632278683</v>
      </c>
      <c r="T53" s="22">
        <f t="shared" si="34"/>
        <v>1692.8109000000002</v>
      </c>
      <c r="U53" s="28">
        <f t="shared" si="35"/>
        <v>-9.8565695187337932E-2</v>
      </c>
      <c r="V53" s="28">
        <f t="shared" si="36"/>
        <v>1.336047859804566</v>
      </c>
      <c r="W53" s="28">
        <f t="shared" si="37"/>
        <v>-2.2252493727006608</v>
      </c>
      <c r="X53" s="28">
        <f t="shared" si="38"/>
        <v>-0.79063581770875668</v>
      </c>
      <c r="Y53" s="28">
        <f t="shared" si="39"/>
        <v>468.46980166370474</v>
      </c>
      <c r="Z53" s="28">
        <f t="shared" si="40"/>
        <v>211.43135793781079</v>
      </c>
      <c r="AA53" s="28">
        <f t="shared" si="41"/>
        <v>-1.6742769718817829</v>
      </c>
      <c r="AB53" s="28">
        <f t="shared" si="42"/>
        <v>101.92053693555226</v>
      </c>
      <c r="AC53" s="22">
        <f t="shared" si="43"/>
        <v>1623.597917424898</v>
      </c>
      <c r="AD53" s="43">
        <f t="shared" si="44"/>
        <v>0.56555742123767494</v>
      </c>
      <c r="AE53" s="22">
        <f t="shared" si="45"/>
        <v>967.05229014851284</v>
      </c>
      <c r="AF53" s="22">
        <f t="shared" si="46"/>
        <v>666.35705753300931</v>
      </c>
      <c r="AG53" s="30">
        <f t="shared" si="47"/>
        <v>0.59204527727305878</v>
      </c>
    </row>
    <row r="54" spans="1:33" x14ac:dyDescent="0.2">
      <c r="A54" s="35">
        <f>P2_TaskV_Valuation!A54</f>
        <v>45978</v>
      </c>
      <c r="B54" s="36">
        <f>P2_TaskV_Valuation!B54</f>
        <v>1705.95</v>
      </c>
      <c r="C54" s="45">
        <f>P2_TaskV_Valuation!N54</f>
        <v>1.97124021766522E-2</v>
      </c>
      <c r="D54" s="37">
        <f>P2_TaskV_Valuation!C54</f>
        <v>0.34599999999999997</v>
      </c>
      <c r="E54" s="46">
        <f>P2_TaskV_Valuation!D54</f>
        <v>1.5835616438356164</v>
      </c>
      <c r="F54" s="47">
        <f>P2_TaskV_Valuation!O54</f>
        <v>1.37124021766522E-2</v>
      </c>
      <c r="G54" s="47">
        <f>P2_TaskV_Valuation!P54</f>
        <v>0.43540517423823138</v>
      </c>
      <c r="H54" s="47">
        <f>P2_TaskV_Valuation!Q54</f>
        <v>-0.38545890126088245</v>
      </c>
      <c r="I54" s="36">
        <f>P2_TaskV_Valuation!AB54</f>
        <v>1648.5387866820456</v>
      </c>
      <c r="J54" s="22">
        <f t="shared" si="24"/>
        <v>1723.0095000000001</v>
      </c>
      <c r="K54" s="28">
        <f t="shared" si="25"/>
        <v>-7.4807200991191758E-2</v>
      </c>
      <c r="L54" s="28">
        <f t="shared" si="26"/>
        <v>1.4050948638335001</v>
      </c>
      <c r="M54" s="28">
        <f t="shared" si="27"/>
        <v>-2.3498481803120725</v>
      </c>
      <c r="N54" s="28">
        <f t="shared" si="28"/>
        <v>-0.86994611548738088</v>
      </c>
      <c r="O54" s="28">
        <f t="shared" si="29"/>
        <v>443.12920343586688</v>
      </c>
      <c r="P54" s="28">
        <f t="shared" si="30"/>
        <v>185.46007232134826</v>
      </c>
      <c r="Q54" s="28">
        <f t="shared" si="31"/>
        <v>-1.1246133648238557</v>
      </c>
      <c r="R54" s="28">
        <f t="shared" si="32"/>
        <v>93.876697890868513</v>
      </c>
      <c r="S54" s="22">
        <f t="shared" si="33"/>
        <v>1658.0713743184861</v>
      </c>
      <c r="T54" s="22">
        <f t="shared" si="34"/>
        <v>1688.8905</v>
      </c>
      <c r="U54" s="28">
        <f t="shared" si="35"/>
        <v>-0.12074295897032455</v>
      </c>
      <c r="V54" s="28">
        <f t="shared" si="36"/>
        <v>1.3591591058543671</v>
      </c>
      <c r="W54" s="28">
        <f t="shared" si="37"/>
        <v>-2.3039124223329397</v>
      </c>
      <c r="X54" s="28">
        <f t="shared" si="38"/>
        <v>-0.8240103575082478</v>
      </c>
      <c r="Y54" s="28">
        <f t="shared" si="39"/>
        <v>461.34242380558203</v>
      </c>
      <c r="Z54" s="28">
        <f t="shared" si="40"/>
        <v>199.06066250108512</v>
      </c>
      <c r="AA54" s="28">
        <f t="shared" si="41"/>
        <v>-1.2919905970829255</v>
      </c>
      <c r="AB54" s="28">
        <f t="shared" si="42"/>
        <v>99.470442630734851</v>
      </c>
      <c r="AC54" s="22">
        <f t="shared" si="43"/>
        <v>1638.7096621666237</v>
      </c>
      <c r="AD54" s="43">
        <f t="shared" si="44"/>
        <v>0.56747595626666436</v>
      </c>
      <c r="AE54" s="22">
        <f t="shared" si="45"/>
        <v>968.08560759311604</v>
      </c>
      <c r="AF54" s="22">
        <f t="shared" si="46"/>
        <v>680.45317908892957</v>
      </c>
      <c r="AG54" s="30">
        <f t="shared" si="47"/>
        <v>0.58723859906356646</v>
      </c>
    </row>
    <row r="55" spans="1:33" x14ac:dyDescent="0.2">
      <c r="A55" s="35">
        <f>P2_TaskV_Valuation!A55</f>
        <v>45979</v>
      </c>
      <c r="B55" s="36">
        <f>P2_TaskV_Valuation!B55</f>
        <v>1699.02</v>
      </c>
      <c r="C55" s="45">
        <f>P2_TaskV_Valuation!N55</f>
        <v>1.953746956490791E-2</v>
      </c>
      <c r="D55" s="37">
        <f>P2_TaskV_Valuation!C55</f>
        <v>0.33600000000000002</v>
      </c>
      <c r="E55" s="46">
        <f>P2_TaskV_Valuation!D55</f>
        <v>1.5808219178082192</v>
      </c>
      <c r="F55" s="47">
        <f>P2_TaskV_Valuation!O55</f>
        <v>1.353746956490791E-2</v>
      </c>
      <c r="G55" s="47">
        <f>P2_TaskV_Valuation!P55</f>
        <v>0.4224552890340903</v>
      </c>
      <c r="H55" s="47">
        <f>P2_TaskV_Valuation!Q55</f>
        <v>-0.38008902383691268</v>
      </c>
      <c r="I55" s="36">
        <f>P2_TaskV_Valuation!AB55</f>
        <v>1661.563273321688</v>
      </c>
      <c r="J55" s="22">
        <f t="shared" si="24"/>
        <v>1716.0101999999999</v>
      </c>
      <c r="K55" s="28">
        <f t="shared" si="25"/>
        <v>-0.10062762224326099</v>
      </c>
      <c r="L55" s="28">
        <f t="shared" si="26"/>
        <v>1.4246391530024305</v>
      </c>
      <c r="M55" s="28">
        <f t="shared" si="27"/>
        <v>-2.426136587027357</v>
      </c>
      <c r="N55" s="28">
        <f t="shared" si="28"/>
        <v>-0.90086981178166581</v>
      </c>
      <c r="O55" s="28">
        <f t="shared" si="29"/>
        <v>438.50414546216916</v>
      </c>
      <c r="P55" s="28">
        <f t="shared" si="30"/>
        <v>175.52876366747398</v>
      </c>
      <c r="Q55" s="28">
        <f t="shared" si="31"/>
        <v>-0.86904989331817895</v>
      </c>
      <c r="R55" s="28">
        <f t="shared" si="32"/>
        <v>91.645925820395945</v>
      </c>
      <c r="S55" s="22">
        <f t="shared" si="33"/>
        <v>1671.1298945823232</v>
      </c>
      <c r="T55" s="22">
        <f t="shared" si="34"/>
        <v>1682.0298</v>
      </c>
      <c r="U55" s="28">
        <f t="shared" si="35"/>
        <v>-0.14797148850754516</v>
      </c>
      <c r="V55" s="28">
        <f t="shared" si="36"/>
        <v>1.3772952867381458</v>
      </c>
      <c r="W55" s="28">
        <f t="shared" si="37"/>
        <v>-2.378792720763073</v>
      </c>
      <c r="X55" s="28">
        <f t="shared" si="38"/>
        <v>-0.85352594551738181</v>
      </c>
      <c r="Y55" s="28">
        <f t="shared" si="39"/>
        <v>456.99758724267531</v>
      </c>
      <c r="Z55" s="28">
        <f t="shared" si="40"/>
        <v>189.02110792426899</v>
      </c>
      <c r="AA55" s="28">
        <f t="shared" si="41"/>
        <v>-1.0058425465239189</v>
      </c>
      <c r="AB55" s="28">
        <f t="shared" si="42"/>
        <v>97.46154497501368</v>
      </c>
      <c r="AC55" s="22">
        <f t="shared" si="43"/>
        <v>1651.6851385177047</v>
      </c>
      <c r="AD55" s="43">
        <f t="shared" si="44"/>
        <v>0.57223446647533749</v>
      </c>
      <c r="AE55" s="22">
        <f t="shared" si="45"/>
        <v>972.23780323092785</v>
      </c>
      <c r="AF55" s="22">
        <f t="shared" si="46"/>
        <v>689.32547009076018</v>
      </c>
      <c r="AG55" s="30">
        <f t="shared" si="47"/>
        <v>0.58513438449279997</v>
      </c>
    </row>
    <row r="56" spans="1:33" x14ac:dyDescent="0.2">
      <c r="A56" s="35">
        <f>P2_TaskV_Valuation!A56</f>
        <v>45980</v>
      </c>
      <c r="B56" s="36">
        <f>P2_TaskV_Valuation!B56</f>
        <v>1580.2</v>
      </c>
      <c r="C56" s="45">
        <f>P2_TaskV_Valuation!N56</f>
        <v>1.9667678321368051E-2</v>
      </c>
      <c r="D56" s="37">
        <f>P2_TaskV_Valuation!C56</f>
        <v>0.43</v>
      </c>
      <c r="E56" s="46">
        <f>P2_TaskV_Valuation!D56</f>
        <v>1.5780821917808219</v>
      </c>
      <c r="F56" s="47">
        <f>P2_TaskV_Valuation!O56</f>
        <v>1.3667678321368051E-2</v>
      </c>
      <c r="G56" s="47">
        <f>P2_TaskV_Valuation!P56</f>
        <v>0.54017348811310051</v>
      </c>
      <c r="H56" s="47">
        <f>P2_TaskV_Valuation!Q56</f>
        <v>-0.42608070134468334</v>
      </c>
      <c r="I56" s="36">
        <f>P2_TaskV_Valuation!AB56</f>
        <v>1449.4284013362972</v>
      </c>
      <c r="J56" s="22">
        <f t="shared" si="24"/>
        <v>1596.002</v>
      </c>
      <c r="K56" s="28">
        <f t="shared" si="25"/>
        <v>-0.10771170982760725</v>
      </c>
      <c r="L56" s="28">
        <f t="shared" si="26"/>
        <v>1.0851587856151439</v>
      </c>
      <c r="M56" s="28">
        <f t="shared" si="27"/>
        <v>-1.6579973021577621</v>
      </c>
      <c r="N56" s="28">
        <f t="shared" si="28"/>
        <v>-0.46512680671501072</v>
      </c>
      <c r="O56" s="28">
        <f t="shared" si="29"/>
        <v>579.33660651337084</v>
      </c>
      <c r="P56" s="28">
        <f t="shared" si="30"/>
        <v>348.22625525248043</v>
      </c>
      <c r="Q56" s="28">
        <f t="shared" si="31"/>
        <v>-8.8771301796816431</v>
      </c>
      <c r="R56" s="28">
        <f t="shared" si="32"/>
        <v>122.20838152781198</v>
      </c>
      <c r="S56" s="22">
        <f t="shared" si="33"/>
        <v>1459.5672265150065</v>
      </c>
      <c r="T56" s="22">
        <f t="shared" si="34"/>
        <v>1564.3980000000001</v>
      </c>
      <c r="U56" s="28">
        <f t="shared" si="35"/>
        <v>-0.14473808588418569</v>
      </c>
      <c r="V56" s="28">
        <f t="shared" si="36"/>
        <v>1.0481324095585656</v>
      </c>
      <c r="W56" s="28">
        <f t="shared" si="37"/>
        <v>-1.6209709261011835</v>
      </c>
      <c r="X56" s="28">
        <f t="shared" si="38"/>
        <v>-0.42810043065843206</v>
      </c>
      <c r="Y56" s="28">
        <f t="shared" si="39"/>
        <v>596.56112884507183</v>
      </c>
      <c r="Z56" s="28">
        <f t="shared" si="40"/>
        <v>364.54805853384801</v>
      </c>
      <c r="AA56" s="28">
        <f t="shared" si="41"/>
        <v>-9.7090862268183642</v>
      </c>
      <c r="AB56" s="28">
        <f t="shared" si="42"/>
        <v>125.52483302928948</v>
      </c>
      <c r="AC56" s="22">
        <f t="shared" si="43"/>
        <v>1439.0970156850249</v>
      </c>
      <c r="AD56" s="43">
        <f t="shared" si="44"/>
        <v>0.64770949341797313</v>
      </c>
      <c r="AE56" s="22">
        <f t="shared" si="45"/>
        <v>1023.5105414990811</v>
      </c>
      <c r="AF56" s="22">
        <f t="shared" si="46"/>
        <v>425.91785983721604</v>
      </c>
      <c r="AG56" s="30">
        <f t="shared" si="47"/>
        <v>0.70614770661003878</v>
      </c>
    </row>
    <row r="57" spans="1:33" x14ac:dyDescent="0.2">
      <c r="A57" s="35">
        <f>P2_TaskV_Valuation!A57</f>
        <v>45981</v>
      </c>
      <c r="B57" s="36">
        <f>P2_TaskV_Valuation!B57</f>
        <v>1620.8</v>
      </c>
      <c r="C57" s="45">
        <f>P2_TaskV_Valuation!N57</f>
        <v>1.9830483224900643E-2</v>
      </c>
      <c r="D57" s="37">
        <f>P2_TaskV_Valuation!C57</f>
        <v>0.42899999999999999</v>
      </c>
      <c r="E57" s="46">
        <f>P2_TaskV_Valuation!D57</f>
        <v>1.5753424657534247</v>
      </c>
      <c r="F57" s="47">
        <f>P2_TaskV_Valuation!O57</f>
        <v>1.3830483224900643E-2</v>
      </c>
      <c r="G57" s="47">
        <f>P2_TaskV_Valuation!P57</f>
        <v>0.53844925734903382</v>
      </c>
      <c r="H57" s="47">
        <f>P2_TaskV_Valuation!Q57</f>
        <v>-0.42485107544025164</v>
      </c>
      <c r="I57" s="36">
        <f>P2_TaskV_Valuation!AB57</f>
        <v>1476.7984704701796</v>
      </c>
      <c r="J57" s="22">
        <f t="shared" si="24"/>
        <v>1637.008</v>
      </c>
      <c r="K57" s="28">
        <f t="shared" si="25"/>
        <v>-6.2262963168735586E-2</v>
      </c>
      <c r="L57" s="28">
        <f t="shared" si="26"/>
        <v>1.1344273611208711</v>
      </c>
      <c r="M57" s="28">
        <f t="shared" si="27"/>
        <v>-1.7117406628218943</v>
      </c>
      <c r="N57" s="28">
        <f t="shared" si="28"/>
        <v>-0.51505033853228732</v>
      </c>
      <c r="O57" s="28">
        <f t="shared" si="29"/>
        <v>556.25276164107629</v>
      </c>
      <c r="P57" s="28">
        <f t="shared" si="30"/>
        <v>326.17226427708579</v>
      </c>
      <c r="Q57" s="28">
        <f t="shared" si="31"/>
        <v>-7.7545253764935183</v>
      </c>
      <c r="R57" s="28">
        <f t="shared" si="32"/>
        <v>117.85097874182145</v>
      </c>
      <c r="S57" s="22">
        <f t="shared" si="33"/>
        <v>1486.7084684788949</v>
      </c>
      <c r="T57" s="22">
        <f t="shared" si="34"/>
        <v>1604.5919999999999</v>
      </c>
      <c r="U57" s="28">
        <f t="shared" si="35"/>
        <v>-9.9407905674812502E-2</v>
      </c>
      <c r="V57" s="28">
        <f t="shared" si="36"/>
        <v>1.0972824186147947</v>
      </c>
      <c r="W57" s="28">
        <f t="shared" si="37"/>
        <v>-1.6745957203158175</v>
      </c>
      <c r="X57" s="28">
        <f t="shared" si="38"/>
        <v>-0.47790539602621041</v>
      </c>
      <c r="Y57" s="28">
        <f t="shared" si="39"/>
        <v>573.34184660454252</v>
      </c>
      <c r="Z57" s="28">
        <f t="shared" si="40"/>
        <v>341.9679457854661</v>
      </c>
      <c r="AA57" s="28">
        <f t="shared" si="41"/>
        <v>-8.4978477024449717</v>
      </c>
      <c r="AB57" s="28">
        <f t="shared" si="42"/>
        <v>121.33008467456074</v>
      </c>
      <c r="AC57" s="22">
        <f t="shared" si="43"/>
        <v>1466.690358711824</v>
      </c>
      <c r="AD57" s="43">
        <f t="shared" si="44"/>
        <v>0.61753793703945226</v>
      </c>
      <c r="AE57" s="22">
        <f t="shared" si="45"/>
        <v>1000.9054883535442</v>
      </c>
      <c r="AF57" s="22">
        <f t="shared" si="46"/>
        <v>475.89298211663538</v>
      </c>
      <c r="AG57" s="30">
        <f t="shared" si="47"/>
        <v>0.67775360576780552</v>
      </c>
    </row>
    <row r="58" spans="1:33" x14ac:dyDescent="0.2">
      <c r="A58" s="35">
        <f>P2_TaskV_Valuation!A58</f>
        <v>45982</v>
      </c>
      <c r="B58" s="36">
        <f>P2_TaskV_Valuation!B58</f>
        <v>1504.46</v>
      </c>
      <c r="C58" s="45">
        <f>P2_TaskV_Valuation!N58</f>
        <v>1.9560390540582964E-2</v>
      </c>
      <c r="D58" s="37">
        <f>P2_TaskV_Valuation!C58</f>
        <v>0.50700000000000001</v>
      </c>
      <c r="E58" s="46">
        <f>P2_TaskV_Valuation!D58</f>
        <v>1.5726027397260274</v>
      </c>
      <c r="F58" s="47">
        <f>P2_TaskV_Valuation!O58</f>
        <v>1.3560390540582964E-2</v>
      </c>
      <c r="G58" s="47">
        <f>P2_TaskV_Valuation!P58</f>
        <v>0.63579553446358494</v>
      </c>
      <c r="H58" s="47">
        <f>P2_TaskV_Valuation!Q58</f>
        <v>-0.44724589264854964</v>
      </c>
      <c r="I58" s="36">
        <f>P2_TaskV_Valuation!AB58</f>
        <v>1312.5942354219374</v>
      </c>
      <c r="J58" s="22">
        <f t="shared" si="24"/>
        <v>1519.5046</v>
      </c>
      <c r="K58" s="28">
        <f t="shared" si="25"/>
        <v>-8.0717351661970804E-2</v>
      </c>
      <c r="L58" s="28">
        <f t="shared" si="26"/>
        <v>0.93274842697730787</v>
      </c>
      <c r="M58" s="28">
        <f t="shared" si="27"/>
        <v>-1.2433370193956721</v>
      </c>
      <c r="N58" s="28">
        <f t="shared" si="28"/>
        <v>-0.22987124075639359</v>
      </c>
      <c r="O58" s="28">
        <f t="shared" si="29"/>
        <v>679.05358084938757</v>
      </c>
      <c r="P58" s="28">
        <f t="shared" si="30"/>
        <v>479.15231265348143</v>
      </c>
      <c r="Q58" s="28">
        <f t="shared" si="31"/>
        <v>-25.626260103431576</v>
      </c>
      <c r="R58" s="28">
        <f t="shared" si="32"/>
        <v>112.6264972952165</v>
      </c>
      <c r="S58" s="22">
        <f t="shared" si="33"/>
        <v>1322.010076560832</v>
      </c>
      <c r="T58" s="22">
        <f t="shared" si="34"/>
        <v>1489.4154000000001</v>
      </c>
      <c r="U58" s="28">
        <f t="shared" si="35"/>
        <v>-0.11217505405609618</v>
      </c>
      <c r="V58" s="28">
        <f t="shared" si="36"/>
        <v>0.90129072458318227</v>
      </c>
      <c r="W58" s="28">
        <f t="shared" si="37"/>
        <v>-1.2118793170015463</v>
      </c>
      <c r="X58" s="28">
        <f t="shared" si="38"/>
        <v>-0.19841353836226799</v>
      </c>
      <c r="Y58" s="28">
        <f t="shared" si="39"/>
        <v>695.10130392475367</v>
      </c>
      <c r="Z58" s="28">
        <f t="shared" si="40"/>
        <v>495.61695237296595</v>
      </c>
      <c r="AA58" s="28">
        <f t="shared" si="41"/>
        <v>-27.351830995368559</v>
      </c>
      <c r="AB58" s="28">
        <f t="shared" si="42"/>
        <v>113.4003580529594</v>
      </c>
      <c r="AC58" s="22">
        <f t="shared" si="43"/>
        <v>1303.0460051916675</v>
      </c>
      <c r="AD58" s="43">
        <f t="shared" si="44"/>
        <v>0.63026173408280906</v>
      </c>
      <c r="AE58" s="22">
        <f t="shared" si="45"/>
        <v>948.20356845822289</v>
      </c>
      <c r="AF58" s="22">
        <f t="shared" si="46"/>
        <v>364.39066696371447</v>
      </c>
      <c r="AG58" s="30">
        <f t="shared" si="47"/>
        <v>0.7223889476807126</v>
      </c>
    </row>
    <row r="59" spans="1:33" x14ac:dyDescent="0.2">
      <c r="A59" s="35">
        <f>P2_TaskV_Valuation!A59</f>
        <v>45985</v>
      </c>
      <c r="B59" s="36">
        <f>P2_TaskV_Valuation!B59</f>
        <v>1428.72</v>
      </c>
      <c r="C59" s="45">
        <f>P2_TaskV_Valuation!N59</f>
        <v>1.9718467468247115E-2</v>
      </c>
      <c r="D59" s="37">
        <f>P2_TaskV_Valuation!C59</f>
        <v>0.53100000000000003</v>
      </c>
      <c r="E59" s="46">
        <f>P2_TaskV_Valuation!D59</f>
        <v>1.5643835616438355</v>
      </c>
      <c r="F59" s="47">
        <f>P2_TaskV_Valuation!O59</f>
        <v>1.3718467468247115E-2</v>
      </c>
      <c r="G59" s="47">
        <f>P2_TaskV_Valuation!P59</f>
        <v>0.66414994799718052</v>
      </c>
      <c r="H59" s="47">
        <f>P2_TaskV_Valuation!Q59</f>
        <v>-0.45134622352649084</v>
      </c>
      <c r="I59" s="36">
        <f>P2_TaskV_Valuation!AB59</f>
        <v>1241.6472405550726</v>
      </c>
      <c r="J59" s="22">
        <f t="shared" si="24"/>
        <v>1443.0072</v>
      </c>
      <c r="K59" s="28">
        <f t="shared" si="25"/>
        <v>-0.12709387348386564</v>
      </c>
      <c r="L59" s="28">
        <f t="shared" si="26"/>
        <v>0.84310422460173218</v>
      </c>
      <c r="M59" s="28">
        <f t="shared" si="27"/>
        <v>-1.0845255684606545</v>
      </c>
      <c r="N59" s="28">
        <f t="shared" si="28"/>
        <v>-0.11432747037505675</v>
      </c>
      <c r="O59" s="28">
        <f t="shared" si="29"/>
        <v>736.4212402184902</v>
      </c>
      <c r="P59" s="28">
        <f t="shared" si="30"/>
        <v>546.5994473856889</v>
      </c>
      <c r="Q59" s="28">
        <f t="shared" si="31"/>
        <v>-36.443646095923</v>
      </c>
      <c r="R59" s="28">
        <f t="shared" si="32"/>
        <v>105.30936766368234</v>
      </c>
      <c r="S59" s="22">
        <f t="shared" si="33"/>
        <v>1250.8948894589189</v>
      </c>
      <c r="T59" s="22">
        <f t="shared" si="34"/>
        <v>1414.4328</v>
      </c>
      <c r="U59" s="28">
        <f t="shared" si="35"/>
        <v>-0.15720855883012502</v>
      </c>
      <c r="V59" s="28">
        <f t="shared" si="36"/>
        <v>0.81298953925547301</v>
      </c>
      <c r="W59" s="28">
        <f t="shared" si="37"/>
        <v>-1.0544108831143955</v>
      </c>
      <c r="X59" s="28">
        <f t="shared" si="38"/>
        <v>-8.4212785028797643E-2</v>
      </c>
      <c r="Y59" s="28">
        <f t="shared" si="39"/>
        <v>752.17427140609789</v>
      </c>
      <c r="Z59" s="28">
        <f t="shared" si="40"/>
        <v>563.28755630827811</v>
      </c>
      <c r="AA59" s="28">
        <f t="shared" si="41"/>
        <v>-38.641891765080501</v>
      </c>
      <c r="AB59" s="28">
        <f t="shared" si="42"/>
        <v>105.03189169500462</v>
      </c>
      <c r="AC59" s="22">
        <f t="shared" si="43"/>
        <v>1232.28601083585</v>
      </c>
      <c r="AD59" s="43">
        <f t="shared" si="44"/>
        <v>0.65124302253306821</v>
      </c>
      <c r="AE59" s="22">
        <f t="shared" si="45"/>
        <v>930.44393115344519</v>
      </c>
      <c r="AF59" s="22">
        <f t="shared" si="46"/>
        <v>311.20330940162739</v>
      </c>
      <c r="AG59" s="30">
        <f t="shared" si="47"/>
        <v>0.74936254095607269</v>
      </c>
    </row>
    <row r="60" spans="1:33" x14ac:dyDescent="0.2">
      <c r="A60" s="35">
        <f>P2_TaskV_Valuation!A60</f>
        <v>45986</v>
      </c>
      <c r="B60" s="36">
        <f>P2_TaskV_Valuation!B60</f>
        <v>1453.47</v>
      </c>
      <c r="C60" s="45">
        <f>P2_TaskV_Valuation!N60</f>
        <v>1.9674705664491844E-2</v>
      </c>
      <c r="D60" s="37">
        <f>P2_TaskV_Valuation!C60</f>
        <v>0.51900000000000002</v>
      </c>
      <c r="E60" s="46">
        <f>P2_TaskV_Valuation!D60</f>
        <v>1.5616438356164384</v>
      </c>
      <c r="F60" s="47">
        <f>P2_TaskV_Valuation!O60</f>
        <v>1.3674705664491844E-2</v>
      </c>
      <c r="G60" s="47">
        <f>P2_TaskV_Valuation!P60</f>
        <v>0.64857223591939206</v>
      </c>
      <c r="H60" s="47">
        <f>P2_TaskV_Valuation!Q60</f>
        <v>-0.44923279292662321</v>
      </c>
      <c r="I60" s="36">
        <f>P2_TaskV_Valuation!AB60</f>
        <v>1269.7098763664053</v>
      </c>
      <c r="J60" s="22">
        <f t="shared" si="24"/>
        <v>1468.0047</v>
      </c>
      <c r="K60" s="28">
        <f t="shared" si="25"/>
        <v>-0.11959355031649366</v>
      </c>
      <c r="L60" s="28">
        <f t="shared" si="26"/>
        <v>0.87390722061474513</v>
      </c>
      <c r="M60" s="28">
        <f t="shared" si="27"/>
        <v>-1.1529833536206662</v>
      </c>
      <c r="N60" s="28">
        <f t="shared" si="28"/>
        <v>-0.1594825826894275</v>
      </c>
      <c r="O60" s="28">
        <f t="shared" si="29"/>
        <v>714.10303027664361</v>
      </c>
      <c r="P60" s="28">
        <f t="shared" si="30"/>
        <v>518.95869888328912</v>
      </c>
      <c r="Q60" s="28">
        <f t="shared" si="31"/>
        <v>-31.284166225927308</v>
      </c>
      <c r="R60" s="28">
        <f t="shared" si="32"/>
        <v>110.1457274712514</v>
      </c>
      <c r="S60" s="22">
        <f t="shared" si="33"/>
        <v>1279.0960657317539</v>
      </c>
      <c r="T60" s="22">
        <f t="shared" si="34"/>
        <v>1438.9353000000001</v>
      </c>
      <c r="U60" s="28">
        <f t="shared" si="35"/>
        <v>-0.15043154429617323</v>
      </c>
      <c r="V60" s="28">
        <f t="shared" si="36"/>
        <v>0.84306922663506578</v>
      </c>
      <c r="W60" s="28">
        <f t="shared" si="37"/>
        <v>-1.1221453596409867</v>
      </c>
      <c r="X60" s="28">
        <f t="shared" si="38"/>
        <v>-0.12864458870974804</v>
      </c>
      <c r="Y60" s="28">
        <f t="shared" si="39"/>
        <v>730.04797248578222</v>
      </c>
      <c r="Z60" s="28">
        <f t="shared" si="40"/>
        <v>535.6696138293114</v>
      </c>
      <c r="AA60" s="28">
        <f t="shared" si="41"/>
        <v>-33.274001996241509</v>
      </c>
      <c r="AB60" s="28">
        <f t="shared" si="42"/>
        <v>110.3389777411561</v>
      </c>
      <c r="AC60" s="22">
        <f t="shared" si="43"/>
        <v>1260.2020647455124</v>
      </c>
      <c r="AD60" s="43">
        <f t="shared" si="44"/>
        <v>0.64996184944448487</v>
      </c>
      <c r="AE60" s="22">
        <f t="shared" si="45"/>
        <v>944.70004931207541</v>
      </c>
      <c r="AF60" s="22">
        <f t="shared" si="46"/>
        <v>325.00982705432989</v>
      </c>
      <c r="AG60" s="30">
        <f t="shared" si="47"/>
        <v>0.74402827519588377</v>
      </c>
    </row>
    <row r="61" spans="1:33" x14ac:dyDescent="0.2">
      <c r="A61" s="35">
        <f>P2_TaskV_Valuation!A61</f>
        <v>45987</v>
      </c>
      <c r="B61" s="36">
        <f>P2_TaskV_Valuation!B61</f>
        <v>1480.7</v>
      </c>
      <c r="C61" s="45">
        <f>P2_TaskV_Valuation!N61</f>
        <v>1.9706700396272231E-2</v>
      </c>
      <c r="D61" s="37">
        <f>P2_TaskV_Valuation!C61</f>
        <v>0.50800000000000001</v>
      </c>
      <c r="E61" s="46">
        <f>P2_TaskV_Valuation!D61</f>
        <v>1.558904109589041</v>
      </c>
      <c r="F61" s="47">
        <f>P2_TaskV_Valuation!O61</f>
        <v>1.3706700396272231E-2</v>
      </c>
      <c r="G61" s="47">
        <f>P2_TaskV_Valuation!P61</f>
        <v>0.63426889418998489</v>
      </c>
      <c r="H61" s="47">
        <f>P2_TaskV_Valuation!Q61</f>
        <v>-0.44688642973730458</v>
      </c>
      <c r="I61" s="36">
        <f>P2_TaskV_Valuation!AB61</f>
        <v>1298.7861579234414</v>
      </c>
      <c r="J61" s="22">
        <f t="shared" si="24"/>
        <v>1495.5070000000001</v>
      </c>
      <c r="K61" s="28">
        <f t="shared" si="25"/>
        <v>-0.1074716965525277</v>
      </c>
      <c r="L61" s="28">
        <f t="shared" si="26"/>
        <v>0.90843342238509861</v>
      </c>
      <c r="M61" s="28">
        <f t="shared" si="27"/>
        <v>-1.222693076178736</v>
      </c>
      <c r="N61" s="28">
        <f t="shared" si="28"/>
        <v>-0.20678795724110977</v>
      </c>
      <c r="O61" s="28">
        <f t="shared" si="29"/>
        <v>690.91866529786762</v>
      </c>
      <c r="P61" s="28">
        <f t="shared" si="30"/>
        <v>490.85200702506</v>
      </c>
      <c r="Q61" s="28">
        <f t="shared" si="31"/>
        <v>-26.701385067545715</v>
      </c>
      <c r="R61" s="28">
        <f t="shared" si="32"/>
        <v>113.66081191791255</v>
      </c>
      <c r="S61" s="22">
        <f t="shared" si="33"/>
        <v>1308.2782638159649</v>
      </c>
      <c r="T61" s="22">
        <f t="shared" si="34"/>
        <v>1465.893</v>
      </c>
      <c r="U61" s="28">
        <f t="shared" si="35"/>
        <v>-0.1390051154067064</v>
      </c>
      <c r="V61" s="28">
        <f t="shared" si="36"/>
        <v>0.87690000353091968</v>
      </c>
      <c r="W61" s="28">
        <f t="shared" si="37"/>
        <v>-1.1911596573245573</v>
      </c>
      <c r="X61" s="28">
        <f t="shared" si="38"/>
        <v>-0.17525453838693106</v>
      </c>
      <c r="Y61" s="28">
        <f t="shared" si="39"/>
        <v>707.02591996963918</v>
      </c>
      <c r="Z61" s="28">
        <f t="shared" si="40"/>
        <v>507.51782514568151</v>
      </c>
      <c r="AA61" s="28">
        <f t="shared" si="41"/>
        <v>-28.48979455318829</v>
      </c>
      <c r="AB61" s="28">
        <f t="shared" si="42"/>
        <v>114.32094941296924</v>
      </c>
      <c r="AC61" s="22">
        <f t="shared" si="43"/>
        <v>1289.1638987146441</v>
      </c>
      <c r="AD61" s="43">
        <f t="shared" si="44"/>
        <v>0.64545029720135072</v>
      </c>
      <c r="AE61" s="22">
        <f t="shared" si="45"/>
        <v>955.71825506604</v>
      </c>
      <c r="AF61" s="22">
        <f t="shared" si="46"/>
        <v>343.06790285740135</v>
      </c>
      <c r="AG61" s="30">
        <f t="shared" si="47"/>
        <v>0.7358549744586792</v>
      </c>
    </row>
    <row r="62" spans="1:33" x14ac:dyDescent="0.2">
      <c r="A62" s="35">
        <f>P2_TaskV_Valuation!A62</f>
        <v>45988</v>
      </c>
      <c r="B62" s="36">
        <f>P2_TaskV_Valuation!B62</f>
        <v>1499.02</v>
      </c>
      <c r="C62" s="45">
        <f>P2_TaskV_Valuation!N62</f>
        <v>1.9745860408612492E-2</v>
      </c>
      <c r="D62" s="37">
        <f>P2_TaskV_Valuation!C62</f>
        <v>0.495</v>
      </c>
      <c r="E62" s="46">
        <f>P2_TaskV_Valuation!D62</f>
        <v>1.5561643835616439</v>
      </c>
      <c r="F62" s="47">
        <f>P2_TaskV_Valuation!O62</f>
        <v>1.3745860408612491E-2</v>
      </c>
      <c r="G62" s="47">
        <f>P2_TaskV_Valuation!P62</f>
        <v>0.61749427372421184</v>
      </c>
      <c r="H62" s="47">
        <f>P2_TaskV_Valuation!Q62</f>
        <v>-0.44390017178405267</v>
      </c>
      <c r="I62" s="36">
        <f>P2_TaskV_Valuation!AB62</f>
        <v>1324.6212513898063</v>
      </c>
      <c r="J62" s="22">
        <f t="shared" si="24"/>
        <v>1514.0101999999999</v>
      </c>
      <c r="K62" s="28">
        <f t="shared" si="25"/>
        <v>-0.10744209920627329</v>
      </c>
      <c r="L62" s="28">
        <f t="shared" si="26"/>
        <v>0.93606072148271502</v>
      </c>
      <c r="M62" s="28">
        <f t="shared" si="27"/>
        <v>-1.2927866230869727</v>
      </c>
      <c r="N62" s="28">
        <f t="shared" si="28"/>
        <v>-0.24928380239798437</v>
      </c>
      <c r="O62" s="28">
        <f t="shared" si="29"/>
        <v>671.02612587131432</v>
      </c>
      <c r="P62" s="28">
        <f t="shared" si="30"/>
        <v>465.43733434810662</v>
      </c>
      <c r="Q62" s="28">
        <f t="shared" si="31"/>
        <v>-22.601008800403307</v>
      </c>
      <c r="R62" s="28">
        <f t="shared" si="32"/>
        <v>117.18311197073336</v>
      </c>
      <c r="S62" s="22">
        <f t="shared" si="33"/>
        <v>1334.2575362750658</v>
      </c>
      <c r="T62" s="22">
        <f t="shared" si="34"/>
        <v>1484.0298</v>
      </c>
      <c r="U62" s="28">
        <f t="shared" si="35"/>
        <v>-0.13983214322407783</v>
      </c>
      <c r="V62" s="28">
        <f t="shared" si="36"/>
        <v>0.90367067746491037</v>
      </c>
      <c r="W62" s="28">
        <f t="shared" si="37"/>
        <v>-1.2603965790691682</v>
      </c>
      <c r="X62" s="28">
        <f t="shared" si="38"/>
        <v>-0.21689375838017971</v>
      </c>
      <c r="Y62" s="28">
        <f t="shared" si="39"/>
        <v>687.33760440554954</v>
      </c>
      <c r="Z62" s="28">
        <f t="shared" si="40"/>
        <v>482.12035300187375</v>
      </c>
      <c r="AA62" s="28">
        <f t="shared" si="41"/>
        <v>-24.202377270055806</v>
      </c>
      <c r="AB62" s="28">
        <f t="shared" si="42"/>
        <v>118.31052000080399</v>
      </c>
      <c r="AC62" s="22">
        <f t="shared" si="43"/>
        <v>1314.8457411215757</v>
      </c>
      <c r="AD62" s="43">
        <f t="shared" si="44"/>
        <v>0.64748286058525484</v>
      </c>
      <c r="AE62" s="22">
        <f t="shared" si="45"/>
        <v>970.58975767450875</v>
      </c>
      <c r="AF62" s="22">
        <f t="shared" si="46"/>
        <v>354.03149371529753</v>
      </c>
      <c r="AG62" s="30">
        <f t="shared" si="47"/>
        <v>0.73273002124656839</v>
      </c>
    </row>
    <row r="63" spans="1:33" x14ac:dyDescent="0.2">
      <c r="A63" s="35">
        <f>P2_TaskV_Valuation!A63</f>
        <v>45989</v>
      </c>
      <c r="B63" s="36">
        <f>P2_TaskV_Valuation!B63</f>
        <v>1465.85</v>
      </c>
      <c r="C63" s="45">
        <f>P2_TaskV_Valuation!N63</f>
        <v>1.9834458806918948E-2</v>
      </c>
      <c r="D63" s="37">
        <f>P2_TaskV_Valuation!C63</f>
        <v>0.48799999999999999</v>
      </c>
      <c r="E63" s="46">
        <f>P2_TaskV_Valuation!D63</f>
        <v>1.5534246575342465</v>
      </c>
      <c r="F63" s="47">
        <f>P2_TaskV_Valuation!O63</f>
        <v>1.3834458806918947E-2</v>
      </c>
      <c r="G63" s="47">
        <f>P2_TaskV_Valuation!P63</f>
        <v>0.60822591332812814</v>
      </c>
      <c r="H63" s="47">
        <f>P2_TaskV_Valuation!Q63</f>
        <v>-0.44190717042243793</v>
      </c>
      <c r="I63" s="36">
        <f>P2_TaskV_Valuation!AB63</f>
        <v>1310.460257659523</v>
      </c>
      <c r="J63" s="22">
        <f t="shared" si="24"/>
        <v>1480.5084999999999</v>
      </c>
      <c r="K63" s="28">
        <f t="shared" si="25"/>
        <v>-0.15504337843988297</v>
      </c>
      <c r="L63" s="28">
        <f t="shared" si="26"/>
        <v>0.9043607052577034</v>
      </c>
      <c r="M63" s="28">
        <f t="shared" si="27"/>
        <v>-1.284871746971906</v>
      </c>
      <c r="N63" s="28">
        <f t="shared" si="28"/>
        <v>-0.22546766327431933</v>
      </c>
      <c r="O63" s="28">
        <f t="shared" si="29"/>
        <v>683.77591396608864</v>
      </c>
      <c r="P63" s="28">
        <f t="shared" si="30"/>
        <v>475.57543040596084</v>
      </c>
      <c r="Q63" s="28">
        <f t="shared" si="31"/>
        <v>-22.724826875530994</v>
      </c>
      <c r="R63" s="28">
        <f t="shared" si="32"/>
        <v>120.71671383144428</v>
      </c>
      <c r="S63" s="22">
        <f t="shared" si="33"/>
        <v>1320.3000171526216</v>
      </c>
      <c r="T63" s="22">
        <f t="shared" si="34"/>
        <v>1451.1914999999999</v>
      </c>
      <c r="U63" s="28">
        <f t="shared" si="35"/>
        <v>-0.1879269933408475</v>
      </c>
      <c r="V63" s="28">
        <f t="shared" si="36"/>
        <v>0.87147709035673915</v>
      </c>
      <c r="W63" s="28">
        <f t="shared" si="37"/>
        <v>-1.2519881320709416</v>
      </c>
      <c r="X63" s="28">
        <f t="shared" si="38"/>
        <v>-0.19258404837335497</v>
      </c>
      <c r="Y63" s="28">
        <f t="shared" si="39"/>
        <v>700.2750612605364</v>
      </c>
      <c r="Z63" s="28">
        <f t="shared" si="40"/>
        <v>492.63577746296386</v>
      </c>
      <c r="AA63" s="28">
        <f t="shared" si="41"/>
        <v>-24.35702931505682</v>
      </c>
      <c r="AB63" s="28">
        <f t="shared" si="42"/>
        <v>121.84253153845532</v>
      </c>
      <c r="AC63" s="22">
        <f t="shared" si="43"/>
        <v>1300.4816499490817</v>
      </c>
      <c r="AD63" s="43">
        <f t="shared" si="44"/>
        <v>0.67600256518538704</v>
      </c>
      <c r="AE63" s="22">
        <f t="shared" si="45"/>
        <v>990.9183601769995</v>
      </c>
      <c r="AF63" s="22">
        <f t="shared" si="46"/>
        <v>319.5418974825235</v>
      </c>
      <c r="AG63" s="30">
        <f t="shared" si="47"/>
        <v>0.75616055838791774</v>
      </c>
    </row>
    <row r="64" spans="1:33" x14ac:dyDescent="0.2">
      <c r="A64" s="35">
        <f>P2_TaskV_Valuation!A64</f>
        <v>45992</v>
      </c>
      <c r="B64" s="36">
        <f>P2_TaskV_Valuation!B64</f>
        <v>1433.67</v>
      </c>
      <c r="C64" s="45">
        <f>P2_TaskV_Valuation!N64</f>
        <v>2.007367283004078E-2</v>
      </c>
      <c r="D64" s="37">
        <f>P2_TaskV_Valuation!C64</f>
        <v>0.48099999999999998</v>
      </c>
      <c r="E64" s="46">
        <f>P2_TaskV_Valuation!D64</f>
        <v>1.5452054794520549</v>
      </c>
      <c r="F64" s="47">
        <f>P2_TaskV_Valuation!O64</f>
        <v>1.407367283004078E-2</v>
      </c>
      <c r="G64" s="47">
        <f>P2_TaskV_Valuation!P64</f>
        <v>0.59791327542671846</v>
      </c>
      <c r="H64" s="47">
        <f>P2_TaskV_Valuation!Q64</f>
        <v>-0.43917007261361773</v>
      </c>
      <c r="I64" s="36">
        <f>P2_TaskV_Valuation!AB64</f>
        <v>1296.6946879546531</v>
      </c>
      <c r="J64" s="22">
        <f t="shared" si="24"/>
        <v>1448.0067000000001</v>
      </c>
      <c r="K64" s="28">
        <f t="shared" si="25"/>
        <v>-0.20481632659712307</v>
      </c>
      <c r="L64" s="28">
        <f t="shared" si="26"/>
        <v>0.872860057040034</v>
      </c>
      <c r="M64" s="28">
        <f t="shared" si="27"/>
        <v>-1.27988112299535</v>
      </c>
      <c r="N64" s="28">
        <f t="shared" si="28"/>
        <v>-0.202204739358193</v>
      </c>
      <c r="O64" s="28">
        <f t="shared" si="29"/>
        <v>695.9458485973895</v>
      </c>
      <c r="P64" s="28">
        <f t="shared" si="30"/>
        <v>484.88461608164312</v>
      </c>
      <c r="Q64" s="28">
        <f t="shared" si="31"/>
        <v>-22.669064271772712</v>
      </c>
      <c r="R64" s="28">
        <f t="shared" si="32"/>
        <v>124.60983919957306</v>
      </c>
      <c r="S64" s="22">
        <f t="shared" si="33"/>
        <v>1306.7528241931109</v>
      </c>
      <c r="T64" s="22">
        <f t="shared" si="34"/>
        <v>1419.3333</v>
      </c>
      <c r="U64" s="28">
        <f t="shared" si="35"/>
        <v>-0.23826710872333617</v>
      </c>
      <c r="V64" s="28">
        <f t="shared" si="36"/>
        <v>0.83940927491382111</v>
      </c>
      <c r="W64" s="28">
        <f t="shared" si="37"/>
        <v>-1.2464303408691368</v>
      </c>
      <c r="X64" s="28">
        <f t="shared" si="38"/>
        <v>-0.16875395723197989</v>
      </c>
      <c r="Y64" s="28">
        <f t="shared" si="39"/>
        <v>712.63996051613435</v>
      </c>
      <c r="Z64" s="28">
        <f t="shared" si="40"/>
        <v>502.33849383247218</v>
      </c>
      <c r="AA64" s="28">
        <f t="shared" si="41"/>
        <v>-24.325436263509829</v>
      </c>
      <c r="AB64" s="28">
        <f t="shared" si="42"/>
        <v>125.75450084796461</v>
      </c>
      <c r="AC64" s="22">
        <f t="shared" si="43"/>
        <v>1286.4979128021532</v>
      </c>
      <c r="AD64" s="43">
        <f t="shared" si="44"/>
        <v>0.70640075439109618</v>
      </c>
      <c r="AE64" s="22">
        <f t="shared" si="45"/>
        <v>1012.745569547883</v>
      </c>
      <c r="AF64" s="22">
        <f t="shared" si="46"/>
        <v>283.94911840677014</v>
      </c>
      <c r="AG64" s="30">
        <f t="shared" si="47"/>
        <v>0.78102083625046814</v>
      </c>
    </row>
    <row r="65" spans="1:33" x14ac:dyDescent="0.2">
      <c r="A65" s="35">
        <f>P2_TaskV_Valuation!A65</f>
        <v>45993</v>
      </c>
      <c r="B65" s="36">
        <f>P2_TaskV_Valuation!B65</f>
        <v>1475.25</v>
      </c>
      <c r="C65" s="45">
        <f>P2_TaskV_Valuation!N65</f>
        <v>1.9932331759465585E-2</v>
      </c>
      <c r="D65" s="37">
        <f>P2_TaskV_Valuation!C65</f>
        <v>0.47899999999999998</v>
      </c>
      <c r="E65" s="46">
        <f>P2_TaskV_Valuation!D65</f>
        <v>1.5424657534246575</v>
      </c>
      <c r="F65" s="47">
        <f>P2_TaskV_Valuation!O65</f>
        <v>1.3932331759465585E-2</v>
      </c>
      <c r="G65" s="47">
        <f>P2_TaskV_Valuation!P65</f>
        <v>0.59489905440461643</v>
      </c>
      <c r="H65" s="47">
        <f>P2_TaskV_Valuation!Q65</f>
        <v>-0.43927706138194317</v>
      </c>
      <c r="I65" s="36">
        <f>P2_TaskV_Valuation!AB65</f>
        <v>1328.2132455736735</v>
      </c>
      <c r="J65" s="22">
        <f t="shared" si="24"/>
        <v>1490.0025000000001</v>
      </c>
      <c r="K65" s="28">
        <f t="shared" si="25"/>
        <v>-0.16124886225875956</v>
      </c>
      <c r="L65" s="28">
        <f t="shared" si="26"/>
        <v>0.92188786761114261</v>
      </c>
      <c r="M65" s="28">
        <f t="shared" si="27"/>
        <v>-1.3378775055473251</v>
      </c>
      <c r="N65" s="28">
        <f t="shared" si="28"/>
        <v>-0.25474077567742298</v>
      </c>
      <c r="O65" s="28">
        <f t="shared" si="29"/>
        <v>670.80099132875557</v>
      </c>
      <c r="P65" s="28">
        <f t="shared" si="30"/>
        <v>457.94942326797309</v>
      </c>
      <c r="Q65" s="28">
        <f t="shared" si="31"/>
        <v>-19.954643764462773</v>
      </c>
      <c r="R65" s="28">
        <f t="shared" si="32"/>
        <v>123.34979936809293</v>
      </c>
      <c r="S65" s="22">
        <f t="shared" si="33"/>
        <v>1338.1918934033006</v>
      </c>
      <c r="T65" s="22">
        <f t="shared" si="34"/>
        <v>1460.4974999999999</v>
      </c>
      <c r="U65" s="28">
        <f t="shared" si="35"/>
        <v>-0.19486913204837381</v>
      </c>
      <c r="V65" s="28">
        <f t="shared" si="36"/>
        <v>0.88826759782152842</v>
      </c>
      <c r="W65" s="28">
        <f t="shared" si="37"/>
        <v>-1.3042572357577109</v>
      </c>
      <c r="X65" s="28">
        <f t="shared" si="38"/>
        <v>-0.22112050588780868</v>
      </c>
      <c r="Y65" s="28">
        <f t="shared" si="39"/>
        <v>687.48251711222395</v>
      </c>
      <c r="Z65" s="28">
        <f t="shared" si="40"/>
        <v>475.0658818647147</v>
      </c>
      <c r="AA65" s="28">
        <f t="shared" si="41"/>
        <v>-21.45278886938614</v>
      </c>
      <c r="AB65" s="28">
        <f t="shared" si="42"/>
        <v>124.83876469667609</v>
      </c>
      <c r="AC65" s="22">
        <f t="shared" si="43"/>
        <v>1318.0883243730525</v>
      </c>
      <c r="AD65" s="43">
        <f t="shared" si="44"/>
        <v>0.6813614312912416</v>
      </c>
      <c r="AE65" s="22">
        <f t="shared" si="45"/>
        <v>1005.1784515124042</v>
      </c>
      <c r="AF65" s="22">
        <f t="shared" si="46"/>
        <v>323.03479406126928</v>
      </c>
      <c r="AG65" s="30">
        <f t="shared" si="47"/>
        <v>0.75678996189972025</v>
      </c>
    </row>
    <row r="66" spans="1:33" x14ac:dyDescent="0.2">
      <c r="A66" s="35">
        <f>P2_TaskV_Valuation!A66</f>
        <v>45994</v>
      </c>
      <c r="B66" s="36">
        <f>P2_TaskV_Valuation!B66</f>
        <v>1503.97</v>
      </c>
      <c r="C66" s="45">
        <f>P2_TaskV_Valuation!N66</f>
        <v>1.9943159176314139E-2</v>
      </c>
      <c r="D66" s="37">
        <f>P2_TaskV_Valuation!C66</f>
        <v>0.47099999999999997</v>
      </c>
      <c r="E66" s="46">
        <f>P2_TaskV_Valuation!D66</f>
        <v>1.5397260273972602</v>
      </c>
      <c r="F66" s="47">
        <f>P2_TaskV_Valuation!O66</f>
        <v>1.3943159176314139E-2</v>
      </c>
      <c r="G66" s="47">
        <f>P2_TaskV_Valuation!P66</f>
        <v>0.58444363427437174</v>
      </c>
      <c r="H66" s="47">
        <f>P2_TaskV_Valuation!Q66</f>
        <v>-0.43714796103373976</v>
      </c>
      <c r="I66" s="36">
        <f>P2_TaskV_Valuation!AB66</f>
        <v>1356.8521356114936</v>
      </c>
      <c r="J66" s="22">
        <f t="shared" si="24"/>
        <v>1519.0097000000001</v>
      </c>
      <c r="K66" s="28">
        <f t="shared" si="25"/>
        <v>-0.14172922831059853</v>
      </c>
      <c r="L66" s="28">
        <f t="shared" si="26"/>
        <v>0.96078430524944847</v>
      </c>
      <c r="M66" s="28">
        <f t="shared" si="27"/>
        <v>-1.4053872563851324</v>
      </c>
      <c r="N66" s="28">
        <f t="shared" si="28"/>
        <v>-0.30287372282508546</v>
      </c>
      <c r="O66" s="28">
        <f t="shared" si="29"/>
        <v>648.59667324979819</v>
      </c>
      <c r="P66" s="28">
        <f t="shared" si="30"/>
        <v>431.94984948045987</v>
      </c>
      <c r="Q66" s="28">
        <f t="shared" si="31"/>
        <v>-16.982008941934517</v>
      </c>
      <c r="R66" s="28">
        <f t="shared" si="32"/>
        <v>123.7264330581221</v>
      </c>
      <c r="S66" s="22">
        <f t="shared" si="33"/>
        <v>1366.8610481651406</v>
      </c>
      <c r="T66" s="22">
        <f t="shared" si="34"/>
        <v>1488.9303</v>
      </c>
      <c r="U66" s="28">
        <f t="shared" si="35"/>
        <v>-0.17595094882176771</v>
      </c>
      <c r="V66" s="28">
        <f t="shared" si="36"/>
        <v>0.92656258473827924</v>
      </c>
      <c r="W66" s="28">
        <f t="shared" si="37"/>
        <v>-1.3711655358739632</v>
      </c>
      <c r="X66" s="28">
        <f t="shared" si="38"/>
        <v>-0.26865200231391634</v>
      </c>
      <c r="Y66" s="28">
        <f t="shared" si="39"/>
        <v>665.37794327031816</v>
      </c>
      <c r="Z66" s="28">
        <f t="shared" si="40"/>
        <v>448.88699483160485</v>
      </c>
      <c r="AA66" s="28">
        <f t="shared" si="41"/>
        <v>-18.315098375232665</v>
      </c>
      <c r="AB66" s="28">
        <f t="shared" si="42"/>
        <v>125.62957658994731</v>
      </c>
      <c r="AC66" s="22">
        <f t="shared" si="43"/>
        <v>1346.6876698488722</v>
      </c>
      <c r="AD66" s="43">
        <f t="shared" si="44"/>
        <v>0.67067090155615894</v>
      </c>
      <c r="AE66" s="22">
        <f t="shared" si="45"/>
        <v>1008.6689158134163</v>
      </c>
      <c r="AF66" s="22">
        <f t="shared" si="46"/>
        <v>348.18321979807729</v>
      </c>
      <c r="AG66" s="30">
        <f t="shared" si="47"/>
        <v>0.74338897315354024</v>
      </c>
    </row>
    <row r="67" spans="1:33" x14ac:dyDescent="0.2">
      <c r="A67" s="35">
        <f>P2_TaskV_Valuation!A67</f>
        <v>45995</v>
      </c>
      <c r="B67" s="36">
        <f>P2_TaskV_Valuation!B67</f>
        <v>1524.76</v>
      </c>
      <c r="C67" s="45">
        <f>P2_TaskV_Valuation!N67</f>
        <v>2.0129002353217067E-2</v>
      </c>
      <c r="D67" s="37">
        <f>P2_TaskV_Valuation!C67</f>
        <v>0.45900000000000002</v>
      </c>
      <c r="E67" s="46">
        <f>P2_TaskV_Valuation!D67</f>
        <v>1.536986301369863</v>
      </c>
      <c r="F67" s="47">
        <f>P2_TaskV_Valuation!O67</f>
        <v>1.4129002353217067E-2</v>
      </c>
      <c r="G67" s="47">
        <f>P2_TaskV_Valuation!P67</f>
        <v>0.56904640492573544</v>
      </c>
      <c r="H67" s="47">
        <f>P2_TaskV_Valuation!Q67</f>
        <v>-0.43293651371876407</v>
      </c>
      <c r="I67" s="36">
        <f>P2_TaskV_Valuation!AB67</f>
        <v>1384.804984100294</v>
      </c>
      <c r="J67" s="22">
        <f t="shared" si="24"/>
        <v>1540.0075999999999</v>
      </c>
      <c r="K67" s="28">
        <f t="shared" si="25"/>
        <v>-0.13660896520983373</v>
      </c>
      <c r="L67" s="28">
        <f t="shared" si="26"/>
        <v>0.99573632475752216</v>
      </c>
      <c r="M67" s="28">
        <f t="shared" si="27"/>
        <v>-1.4827107382588955</v>
      </c>
      <c r="N67" s="28">
        <f t="shared" si="28"/>
        <v>-0.35036544829153932</v>
      </c>
      <c r="O67" s="28">
        <f t="shared" si="29"/>
        <v>627.46782700193296</v>
      </c>
      <c r="P67" s="28">
        <f t="shared" si="30"/>
        <v>405.54109363947191</v>
      </c>
      <c r="Q67" s="28">
        <f t="shared" si="31"/>
        <v>-13.972569880169026</v>
      </c>
      <c r="R67" s="28">
        <f t="shared" si="32"/>
        <v>124.64775721595691</v>
      </c>
      <c r="S67" s="22">
        <f t="shared" si="33"/>
        <v>1394.9099424134265</v>
      </c>
      <c r="T67" s="22">
        <f t="shared" si="34"/>
        <v>1509.5124000000001</v>
      </c>
      <c r="U67" s="28">
        <f t="shared" si="35"/>
        <v>-0.17175665533412099</v>
      </c>
      <c r="V67" s="28">
        <f t="shared" si="36"/>
        <v>0.96058863463323485</v>
      </c>
      <c r="W67" s="28">
        <f t="shared" si="37"/>
        <v>-1.4475630481346082</v>
      </c>
      <c r="X67" s="28">
        <f t="shared" si="38"/>
        <v>-0.31521775816725223</v>
      </c>
      <c r="Y67" s="28">
        <f t="shared" si="39"/>
        <v>644.42587391062511</v>
      </c>
      <c r="Z67" s="28">
        <f t="shared" si="40"/>
        <v>422.37389212102289</v>
      </c>
      <c r="AA67" s="28">
        <f t="shared" si="41"/>
        <v>-15.134880646804227</v>
      </c>
      <c r="AB67" s="28">
        <f t="shared" si="42"/>
        <v>127.02948913506128</v>
      </c>
      <c r="AC67" s="22">
        <f t="shared" si="43"/>
        <v>1374.5331012461361</v>
      </c>
      <c r="AD67" s="43">
        <f t="shared" si="44"/>
        <v>0.66819831210454173</v>
      </c>
      <c r="AE67" s="22">
        <f t="shared" si="45"/>
        <v>1018.842058364521</v>
      </c>
      <c r="AF67" s="22">
        <f t="shared" si="46"/>
        <v>365.96292573577296</v>
      </c>
      <c r="AG67" s="30">
        <f t="shared" si="47"/>
        <v>0.73572962984853885</v>
      </c>
    </row>
    <row r="68" spans="1:33" x14ac:dyDescent="0.2">
      <c r="A68" s="35">
        <f>P2_TaskV_Valuation!A68</f>
        <v>45996</v>
      </c>
      <c r="B68" s="36">
        <f>P2_TaskV_Valuation!B68</f>
        <v>1514.36</v>
      </c>
      <c r="C68" s="45">
        <f>P2_TaskV_Valuation!N68</f>
        <v>2.0178559383822341E-2</v>
      </c>
      <c r="D68" s="37">
        <f>P2_TaskV_Valuation!C68</f>
        <v>0.44600000000000001</v>
      </c>
      <c r="E68" s="46">
        <f>P2_TaskV_Valuation!D68</f>
        <v>1.5342465753424657</v>
      </c>
      <c r="F68" s="47">
        <f>P2_TaskV_Valuation!O68</f>
        <v>1.4178559383822341E-2</v>
      </c>
      <c r="G68" s="47">
        <f>P2_TaskV_Valuation!P68</f>
        <v>0.55243659525851641</v>
      </c>
      <c r="H68" s="47">
        <f>P2_TaskV_Valuation!Q68</f>
        <v>-0.42872087019735799</v>
      </c>
      <c r="I68" s="36">
        <f>P2_TaskV_Valuation!AB68</f>
        <v>1393.4919118428263</v>
      </c>
      <c r="J68" s="22">
        <f t="shared" ref="J68:J99" si="48">B68*(1+dS)</f>
        <v>1529.5036</v>
      </c>
      <c r="K68" s="28">
        <f t="shared" ref="K68:K99" si="49">LN(J68/Cap)/G68+(1+H68)*G68</f>
        <v>-0.16989721713001282</v>
      </c>
      <c r="L68" s="28">
        <f t="shared" ref="L68:L99" si="50">LN(J68/Barrier)/G68+(1+H68)*G68</f>
        <v>0.99649368079553491</v>
      </c>
      <c r="M68" s="28">
        <f t="shared" ref="M68:M99" si="51">LN(Barrier^2/(J68*Cap))/G68+(1+H68)*G68</f>
        <v>-1.5316935839002435</v>
      </c>
      <c r="N68" s="28">
        <f t="shared" ref="N68:N99" si="52">LN(Barrier/J68)/G68+(1+H68)*G68</f>
        <v>-0.36530268597469567</v>
      </c>
      <c r="O68" s="28">
        <f t="shared" ref="O68:O99" si="53">-J68*EXP((F68-C68)*E68)*NORMSDIST(-K68)+Cap*EXP(-C68*E68)*NORMSDIST(-K68+G68)</f>
        <v>623.30133349796859</v>
      </c>
      <c r="P68" s="28">
        <f t="shared" ref="P68:P99" si="54">-J68*EXP((F68-C68)*E68)*NORMSDIST(-L68)+Cap*EXP(-C68*E68)*NORMSDIST(-L68+G68)</f>
        <v>395.24468108571182</v>
      </c>
      <c r="Q68" s="28">
        <f t="shared" ref="Q68:Q99" si="55">-J68*EXP((F68-C68)*E68)*(Barrier/J68)^(2*(H68+1))*NORMSDIST(M68)+Cap*EXP(-C68*E68)*(Barrier/J68)^(2*H68)*NORMSDIST(M68-G68)</f>
        <v>-12.199480173484453</v>
      </c>
      <c r="R68" s="28">
        <f t="shared" ref="R68:R99" si="56">-J68*EXP((F68-C68)*E68)*(Barrier/J68)^(2*(H68+1))*NORMSDIST(N68)+Cap*EXP(-C68*E68)*(Barrier/J68)^(2*H68)*NORMSDIST(N68-G68)</f>
        <v>127.74445395686968</v>
      </c>
      <c r="S68" s="22">
        <f t="shared" ref="S68:S99" si="57">Cap*EXP(-C68*E68)-O68+IF(J68&lt;=Barrier,0,O68-P68+Q68-R68)</f>
        <v>1403.8422513296869</v>
      </c>
      <c r="T68" s="22">
        <f t="shared" ref="T68:T99" si="58">B68*(1-dS)</f>
        <v>1499.2163999999998</v>
      </c>
      <c r="U68" s="28">
        <f t="shared" ref="U68:U99" si="59">LN(T68/Cap)/G68+(1+H68)*G68</f>
        <v>-0.20610167367458715</v>
      </c>
      <c r="V68" s="28">
        <f t="shared" ref="V68:V99" si="60">LN(T68/Barrier)/G68+(1+H68)*G68</f>
        <v>0.96028922425096042</v>
      </c>
      <c r="W68" s="28">
        <f t="shared" ref="W68:W99" si="61">LN(Barrier^2/(T68*Cap))/G68+(1+H68)*G68</f>
        <v>-1.4954891273556687</v>
      </c>
      <c r="X68" s="28">
        <f t="shared" ref="X68:X99" si="62">LN(Barrier/T68)/G68+(1+H68)*G68</f>
        <v>-0.32909822943012107</v>
      </c>
      <c r="Y68" s="28">
        <f t="shared" ref="Y68:Y99" si="63">-T68*EXP((F68-C68)*E68)*NORMSDIST(-U68)+Cap*EXP(-C68*E68)*NORMSDIST(-U68+G68)</f>
        <v>640.5429033650172</v>
      </c>
      <c r="Z68" s="28">
        <f t="shared" ref="Z68:Z99" si="64">-T68*EXP((F68-C68)*E68)*NORMSDIST(-V68)+Cap*EXP(-C68*E68)*NORMSDIST(-V68+G68)</f>
        <v>412.31319787395614</v>
      </c>
      <c r="AA68" s="28">
        <f t="shared" ref="AA68:AA99" si="65">-T68*EXP((F68-C68)*E68)*(Barrier/T68)^(2*(H68+1))*NORMSDIST(W68)+Cap*EXP(-C68*E68)*(Barrier/T68)^(2*H68)*NORMSDIST(W68-G68)</f>
        <v>-13.266482319648446</v>
      </c>
      <c r="AB68" s="28">
        <f t="shared" ref="AB68:AB99" si="66">-T68*EXP((F68-C68)*E68)*(Barrier/T68)^(2*(H68+1))*NORMSDIST(X68)+Cap*EXP(-C68*E68)*(Barrier/T68)^(2*H68)*NORMSDIST(X68-G68)</f>
        <v>130.48522003474392</v>
      </c>
      <c r="AC68" s="22">
        <f t="shared" ref="AC68:AC99" si="67">Cap*EXP(-C68*E68)-Y68+IF(T68&lt;=Barrier,0,Y68-Z68+AA68-AB68)</f>
        <v>1382.9659663174043</v>
      </c>
      <c r="AD68" s="43">
        <f t="shared" ref="AD68:AD99" si="68">(S68-AC68)/(2*dS*B68)</f>
        <v>0.68927748396294641</v>
      </c>
      <c r="AE68" s="22">
        <f t="shared" ref="AE68:AE99" si="69">AD68*B68</f>
        <v>1043.8142506141276</v>
      </c>
      <c r="AF68" s="22">
        <f t="shared" ref="AF68:AF99" si="70">I68-AE68</f>
        <v>349.67766122869875</v>
      </c>
      <c r="AG68" s="30">
        <f t="shared" ref="AG68:AG99" si="71">AE68/I68</f>
        <v>0.74906373100776247</v>
      </c>
    </row>
    <row r="69" spans="1:33" x14ac:dyDescent="0.2">
      <c r="A69" s="35">
        <f>P2_TaskV_Valuation!A69</f>
        <v>45999</v>
      </c>
      <c r="B69" s="36">
        <f>P2_TaskV_Valuation!B69</f>
        <v>1569.31</v>
      </c>
      <c r="C69" s="45">
        <f>P2_TaskV_Valuation!N69</f>
        <v>2.0648794455422712E-2</v>
      </c>
      <c r="D69" s="37">
        <f>P2_TaskV_Valuation!C69</f>
        <v>0.45400000000000001</v>
      </c>
      <c r="E69" s="46">
        <f>P2_TaskV_Valuation!D69</f>
        <v>1.526027397260274</v>
      </c>
      <c r="F69" s="47">
        <f>P2_TaskV_Valuation!O69</f>
        <v>1.4648794455422711E-2</v>
      </c>
      <c r="G69" s="47">
        <f>P2_TaskV_Valuation!P69</f>
        <v>0.56083746577212434</v>
      </c>
      <c r="H69" s="47">
        <f>P2_TaskV_Valuation!Q69</f>
        <v>-0.42892936765984829</v>
      </c>
      <c r="I69" s="36">
        <f>P2_TaskV_Valuation!AB69</f>
        <v>1421.6237858092682</v>
      </c>
      <c r="J69" s="22">
        <f t="shared" si="48"/>
        <v>1585.0030999999999</v>
      </c>
      <c r="K69" s="28">
        <f t="shared" si="49"/>
        <v>-9.4389243666367417E-2</v>
      </c>
      <c r="L69" s="28">
        <f t="shared" si="50"/>
        <v>1.0545301059056245</v>
      </c>
      <c r="M69" s="28">
        <f t="shared" si="51"/>
        <v>-1.5628938430405457</v>
      </c>
      <c r="N69" s="28">
        <f t="shared" si="52"/>
        <v>-0.41397449346855358</v>
      </c>
      <c r="O69" s="28">
        <f t="shared" si="53"/>
        <v>597.20004303946939</v>
      </c>
      <c r="P69" s="28">
        <f t="shared" si="54"/>
        <v>373.22520794999548</v>
      </c>
      <c r="Q69" s="28">
        <f t="shared" si="55"/>
        <v>-11.453055395323439</v>
      </c>
      <c r="R69" s="28">
        <f t="shared" si="56"/>
        <v>121.67990518261593</v>
      </c>
      <c r="S69" s="22">
        <f t="shared" si="57"/>
        <v>1431.6031513780893</v>
      </c>
      <c r="T69" s="22">
        <f t="shared" si="58"/>
        <v>1553.6169</v>
      </c>
      <c r="U69" s="28">
        <f t="shared" si="59"/>
        <v>-0.13005138809734607</v>
      </c>
      <c r="V69" s="28">
        <f t="shared" si="60"/>
        <v>1.0188679614746456</v>
      </c>
      <c r="W69" s="28">
        <f t="shared" si="61"/>
        <v>-1.5272316986095671</v>
      </c>
      <c r="X69" s="28">
        <f t="shared" si="62"/>
        <v>-0.3783123490375751</v>
      </c>
      <c r="Y69" s="28">
        <f t="shared" si="63"/>
        <v>614.13872251588589</v>
      </c>
      <c r="Z69" s="28">
        <f t="shared" si="64"/>
        <v>389.58236648347633</v>
      </c>
      <c r="AA69" s="28">
        <f t="shared" si="65"/>
        <v>-12.45046273486863</v>
      </c>
      <c r="AB69" s="28">
        <f t="shared" si="66"/>
        <v>124.46166366057861</v>
      </c>
      <c r="AC69" s="22">
        <f t="shared" si="67"/>
        <v>1411.4668270271004</v>
      </c>
      <c r="AD69" s="43">
        <f t="shared" si="68"/>
        <v>0.64156617720491316</v>
      </c>
      <c r="AE69" s="22">
        <f t="shared" si="69"/>
        <v>1006.8162175494423</v>
      </c>
      <c r="AF69" s="22">
        <f t="shared" si="70"/>
        <v>414.80756825982587</v>
      </c>
      <c r="AG69" s="30">
        <f t="shared" si="71"/>
        <v>0.70821565283272603</v>
      </c>
    </row>
    <row r="70" spans="1:33" x14ac:dyDescent="0.2">
      <c r="A70" s="35">
        <f>P2_TaskV_Valuation!A70</f>
        <v>46000</v>
      </c>
      <c r="B70" s="36">
        <f>P2_TaskV_Valuation!B70</f>
        <v>1625.25</v>
      </c>
      <c r="C70" s="45">
        <f>P2_TaskV_Valuation!N70</f>
        <v>2.0689401199875265E-2</v>
      </c>
      <c r="D70" s="37">
        <f>P2_TaskV_Valuation!C70</f>
        <v>0.46100000000000002</v>
      </c>
      <c r="E70" s="46">
        <f>P2_TaskV_Valuation!D70</f>
        <v>1.5232876712328767</v>
      </c>
      <c r="F70" s="47">
        <f>P2_TaskV_Valuation!O70</f>
        <v>1.4689401199875265E-2</v>
      </c>
      <c r="G70" s="47">
        <f>P2_TaskV_Valuation!P70</f>
        <v>0.56897330269361701</v>
      </c>
      <c r="H70" s="47">
        <f>P2_TaskV_Valuation!Q70</f>
        <v>-0.43088023677718784</v>
      </c>
      <c r="I70" s="36">
        <f>P2_TaskV_Valuation!AB70</f>
        <v>1448.1793318212717</v>
      </c>
      <c r="J70" s="22">
        <f t="shared" si="48"/>
        <v>1641.5025000000001</v>
      </c>
      <c r="K70" s="28">
        <f t="shared" si="49"/>
        <v>-2.3364376161055023E-2</v>
      </c>
      <c r="L70" s="28">
        <f t="shared" si="50"/>
        <v>1.109126398608195</v>
      </c>
      <c r="M70" s="28">
        <f t="shared" si="51"/>
        <v>-1.5939892707592593</v>
      </c>
      <c r="N70" s="28">
        <f t="shared" si="52"/>
        <v>-0.46149849599000942</v>
      </c>
      <c r="O70" s="28">
        <f t="shared" si="53"/>
        <v>573.05858488572539</v>
      </c>
      <c r="P70" s="28">
        <f t="shared" si="54"/>
        <v>353.36287143435584</v>
      </c>
      <c r="Q70" s="28">
        <f t="shared" si="55"/>
        <v>-10.758137462972691</v>
      </c>
      <c r="R70" s="28">
        <f t="shared" si="56"/>
        <v>116.0282509199622</v>
      </c>
      <c r="S70" s="22">
        <f t="shared" si="57"/>
        <v>1457.8018204832229</v>
      </c>
      <c r="T70" s="22">
        <f t="shared" si="58"/>
        <v>1608.9974999999999</v>
      </c>
      <c r="U70" s="28">
        <f t="shared" si="59"/>
        <v>-5.8516582094062908E-2</v>
      </c>
      <c r="V70" s="28">
        <f t="shared" si="60"/>
        <v>1.0739741926751871</v>
      </c>
      <c r="W70" s="28">
        <f t="shared" si="61"/>
        <v>-1.5588370648262515</v>
      </c>
      <c r="X70" s="28">
        <f t="shared" si="62"/>
        <v>-0.42634629005700148</v>
      </c>
      <c r="Y70" s="28">
        <f t="shared" si="63"/>
        <v>589.68836242450766</v>
      </c>
      <c r="Z70" s="28">
        <f t="shared" si="64"/>
        <v>369.05327610761844</v>
      </c>
      <c r="AA70" s="28">
        <f t="shared" si="65"/>
        <v>-11.690730126734593</v>
      </c>
      <c r="AB70" s="28">
        <f t="shared" si="66"/>
        <v>118.82870228418346</v>
      </c>
      <c r="AC70" s="22">
        <f t="shared" si="67"/>
        <v>1438.378371781977</v>
      </c>
      <c r="AD70" s="43">
        <f t="shared" si="68"/>
        <v>0.59755264424691235</v>
      </c>
      <c r="AE70" s="22">
        <f t="shared" si="69"/>
        <v>971.17243506229431</v>
      </c>
      <c r="AF70" s="22">
        <f t="shared" si="70"/>
        <v>477.0068967589774</v>
      </c>
      <c r="AG70" s="30">
        <f t="shared" si="71"/>
        <v>0.67061614105548661</v>
      </c>
    </row>
    <row r="71" spans="1:33" x14ac:dyDescent="0.2">
      <c r="A71" s="35">
        <f>P2_TaskV_Valuation!A71</f>
        <v>46001</v>
      </c>
      <c r="B71" s="36">
        <f>P2_TaskV_Valuation!B71</f>
        <v>1594.07</v>
      </c>
      <c r="C71" s="45">
        <f>P2_TaskV_Valuation!N71</f>
        <v>2.0819381187359026E-2</v>
      </c>
      <c r="D71" s="37">
        <f>P2_TaskV_Valuation!C71</f>
        <v>0.45300000000000001</v>
      </c>
      <c r="E71" s="46">
        <f>P2_TaskV_Valuation!D71</f>
        <v>1.5205479452054795</v>
      </c>
      <c r="F71" s="47">
        <f>P2_TaskV_Valuation!O71</f>
        <v>1.4819381187359025E-2</v>
      </c>
      <c r="G71" s="47">
        <f>P2_TaskV_Valuation!P71</f>
        <v>0.55859656576788164</v>
      </c>
      <c r="H71" s="47">
        <f>P2_TaskV_Valuation!Q71</f>
        <v>-0.42778396080406306</v>
      </c>
      <c r="I71" s="36">
        <f>P2_TaskV_Valuation!AB71</f>
        <v>1439.4759202110245</v>
      </c>
      <c r="J71" s="22">
        <f t="shared" si="48"/>
        <v>1610.0107</v>
      </c>
      <c r="K71" s="28">
        <f t="shared" si="49"/>
        <v>-6.866800964432157E-2</v>
      </c>
      <c r="L71" s="28">
        <f t="shared" si="50"/>
        <v>1.084860414764697</v>
      </c>
      <c r="M71" s="28">
        <f t="shared" si="51"/>
        <v>-1.5991130104294158</v>
      </c>
      <c r="N71" s="28">
        <f t="shared" si="52"/>
        <v>-0.44558458602039708</v>
      </c>
      <c r="O71" s="28">
        <f t="shared" si="53"/>
        <v>582.35746837951183</v>
      </c>
      <c r="P71" s="28">
        <f t="shared" si="54"/>
        <v>358.30275030620658</v>
      </c>
      <c r="Q71" s="28">
        <f t="shared" si="55"/>
        <v>-10.473362943316381</v>
      </c>
      <c r="R71" s="28">
        <f t="shared" si="56"/>
        <v>119.55275671205538</v>
      </c>
      <c r="S71" s="22">
        <f t="shared" si="57"/>
        <v>1449.3490608281086</v>
      </c>
      <c r="T71" s="22">
        <f t="shared" si="58"/>
        <v>1578.1292999999998</v>
      </c>
      <c r="U71" s="28">
        <f t="shared" si="59"/>
        <v>-0.10447321850588265</v>
      </c>
      <c r="V71" s="28">
        <f t="shared" si="60"/>
        <v>1.0490552059031359</v>
      </c>
      <c r="W71" s="28">
        <f t="shared" si="61"/>
        <v>-1.563307801567855</v>
      </c>
      <c r="X71" s="28">
        <f t="shared" si="62"/>
        <v>-0.40977937715883628</v>
      </c>
      <c r="Y71" s="28">
        <f t="shared" si="63"/>
        <v>599.24230740599762</v>
      </c>
      <c r="Z71" s="28">
        <f t="shared" si="64"/>
        <v>374.37327344623282</v>
      </c>
      <c r="AA71" s="28">
        <f t="shared" si="65"/>
        <v>-11.401604661887518</v>
      </c>
      <c r="AB71" s="28">
        <f t="shared" si="66"/>
        <v>122.48208377116572</v>
      </c>
      <c r="AC71" s="22">
        <f t="shared" si="67"/>
        <v>1429.4209689104009</v>
      </c>
      <c r="AD71" s="43">
        <f t="shared" si="68"/>
        <v>0.62506953639763818</v>
      </c>
      <c r="AE71" s="22">
        <f t="shared" si="69"/>
        <v>996.40459588538306</v>
      </c>
      <c r="AF71" s="22">
        <f t="shared" si="70"/>
        <v>443.0713243256414</v>
      </c>
      <c r="AG71" s="30">
        <f t="shared" si="71"/>
        <v>0.69219955811370015</v>
      </c>
    </row>
    <row r="72" spans="1:33" x14ac:dyDescent="0.2">
      <c r="A72" s="35">
        <f>P2_TaskV_Valuation!A72</f>
        <v>46002</v>
      </c>
      <c r="B72" s="36">
        <f>P2_TaskV_Valuation!B72</f>
        <v>1586.64</v>
      </c>
      <c r="C72" s="45">
        <f>P2_TaskV_Valuation!N72</f>
        <v>2.0741736432552726E-2</v>
      </c>
      <c r="D72" s="37">
        <f>P2_TaskV_Valuation!C72</f>
        <v>0.44</v>
      </c>
      <c r="E72" s="46">
        <f>P2_TaskV_Valuation!D72</f>
        <v>1.5178082191780822</v>
      </c>
      <c r="F72" s="47">
        <f>P2_TaskV_Valuation!O72</f>
        <v>1.4741736432552726E-2</v>
      </c>
      <c r="G72" s="47">
        <f>P2_TaskV_Valuation!P72</f>
        <v>0.54207718198876143</v>
      </c>
      <c r="H72" s="47">
        <f>P2_TaskV_Valuation!Q72</f>
        <v>-0.4238546671872277</v>
      </c>
      <c r="I72" s="36">
        <f>P2_TaskV_Valuation!AB72</f>
        <v>1451.6736381547769</v>
      </c>
      <c r="J72" s="22">
        <f t="shared" si="48"/>
        <v>1602.5064000000002</v>
      </c>
      <c r="K72" s="28">
        <f t="shared" si="49"/>
        <v>-9.6442562782216024E-2</v>
      </c>
      <c r="L72" s="28">
        <f t="shared" si="50"/>
        <v>1.0922387501380397</v>
      </c>
      <c r="M72" s="28">
        <f t="shared" si="51"/>
        <v>-1.6562895862040459</v>
      </c>
      <c r="N72" s="28">
        <f t="shared" si="52"/>
        <v>-0.46760827328379029</v>
      </c>
      <c r="O72" s="28">
        <f t="shared" si="53"/>
        <v>576.10186292502124</v>
      </c>
      <c r="P72" s="28">
        <f t="shared" si="54"/>
        <v>346.03373019539839</v>
      </c>
      <c r="Q72" s="28">
        <f t="shared" si="55"/>
        <v>-8.9199322403504056</v>
      </c>
      <c r="R72" s="28">
        <f t="shared" si="56"/>
        <v>121.31579169670067</v>
      </c>
      <c r="S72" s="22">
        <f t="shared" si="57"/>
        <v>1461.7473853273946</v>
      </c>
      <c r="T72" s="22">
        <f t="shared" si="58"/>
        <v>1570.7736</v>
      </c>
      <c r="U72" s="28">
        <f t="shared" si="59"/>
        <v>-0.13333890775156465</v>
      </c>
      <c r="V72" s="28">
        <f t="shared" si="60"/>
        <v>1.055342405168691</v>
      </c>
      <c r="W72" s="28">
        <f t="shared" si="61"/>
        <v>-1.6193932412346976</v>
      </c>
      <c r="X72" s="28">
        <f t="shared" si="62"/>
        <v>-0.43071192831444172</v>
      </c>
      <c r="Y72" s="28">
        <f t="shared" si="63"/>
        <v>593.26169405707492</v>
      </c>
      <c r="Z72" s="28">
        <f t="shared" si="64"/>
        <v>362.24536314039563</v>
      </c>
      <c r="AA72" s="28">
        <f t="shared" si="65"/>
        <v>-9.753267106386275</v>
      </c>
      <c r="AB72" s="28">
        <f t="shared" si="66"/>
        <v>124.6103671677572</v>
      </c>
      <c r="AC72" s="22">
        <f t="shared" si="67"/>
        <v>1441.407842045305</v>
      </c>
      <c r="AD72" s="43">
        <f t="shared" si="68"/>
        <v>0.64096276666696939</v>
      </c>
      <c r="AE72" s="22">
        <f t="shared" si="69"/>
        <v>1016.9771641044804</v>
      </c>
      <c r="AF72" s="22">
        <f t="shared" si="70"/>
        <v>434.6964740502965</v>
      </c>
      <c r="AG72" s="30">
        <f t="shared" si="71"/>
        <v>0.70055495765367803</v>
      </c>
    </row>
    <row r="73" spans="1:33" x14ac:dyDescent="0.2">
      <c r="A73" s="35">
        <f>P2_TaskV_Valuation!A73</f>
        <v>46003</v>
      </c>
      <c r="B73" s="36">
        <f>P2_TaskV_Valuation!B73</f>
        <v>1600.01</v>
      </c>
      <c r="C73" s="45">
        <f>P2_TaskV_Valuation!N73</f>
        <v>2.0749522466664685E-2</v>
      </c>
      <c r="D73" s="37">
        <f>P2_TaskV_Valuation!C73</f>
        <v>0.42799999999999999</v>
      </c>
      <c r="E73" s="46">
        <f>P2_TaskV_Valuation!D73</f>
        <v>1.515068493150685</v>
      </c>
      <c r="F73" s="47">
        <f>P2_TaskV_Valuation!O73</f>
        <v>1.4749522466664685E-2</v>
      </c>
      <c r="G73" s="47">
        <f>P2_TaskV_Valuation!P73</f>
        <v>0.52681714745186026</v>
      </c>
      <c r="H73" s="47">
        <f>P2_TaskV_Valuation!Q73</f>
        <v>-0.41948247408799522</v>
      </c>
      <c r="I73" s="36">
        <f>P2_TaskV_Valuation!AB73</f>
        <v>1476.2509928285906</v>
      </c>
      <c r="J73" s="22">
        <f t="shared" si="48"/>
        <v>1616.0101</v>
      </c>
      <c r="K73" s="28">
        <f t="shared" si="49"/>
        <v>-9.8843176478821348E-2</v>
      </c>
      <c r="L73" s="28">
        <f t="shared" si="50"/>
        <v>1.1242700412802753</v>
      </c>
      <c r="M73" s="28">
        <f t="shared" si="51"/>
        <v>-1.7357300849458241</v>
      </c>
      <c r="N73" s="28">
        <f t="shared" si="52"/>
        <v>-0.51261686718672794</v>
      </c>
      <c r="O73" s="28">
        <f t="shared" si="53"/>
        <v>559.27875923524573</v>
      </c>
      <c r="P73" s="28">
        <f t="shared" si="54"/>
        <v>324.27768180633802</v>
      </c>
      <c r="Q73" s="28">
        <f t="shared" si="55"/>
        <v>-7.1704936072257439</v>
      </c>
      <c r="R73" s="28">
        <f t="shared" si="56"/>
        <v>120.27115331055222</v>
      </c>
      <c r="S73" s="22">
        <f t="shared" si="57"/>
        <v>1486.3847821806933</v>
      </c>
      <c r="T73" s="22">
        <f t="shared" si="58"/>
        <v>1584.0099</v>
      </c>
      <c r="U73" s="28">
        <f t="shared" si="59"/>
        <v>-0.13680827841866866</v>
      </c>
      <c r="V73" s="28">
        <f t="shared" si="60"/>
        <v>1.0863049393404278</v>
      </c>
      <c r="W73" s="28">
        <f t="shared" si="61"/>
        <v>-1.6977649830059767</v>
      </c>
      <c r="X73" s="28">
        <f t="shared" si="62"/>
        <v>-0.47465176524688052</v>
      </c>
      <c r="Y73" s="28">
        <f t="shared" si="63"/>
        <v>576.62032416979764</v>
      </c>
      <c r="Z73" s="28">
        <f t="shared" si="64"/>
        <v>340.33797123112981</v>
      </c>
      <c r="AA73" s="28">
        <f t="shared" si="65"/>
        <v>-7.8809213123475601</v>
      </c>
      <c r="AB73" s="28">
        <f t="shared" si="66"/>
        <v>123.97272897411636</v>
      </c>
      <c r="AC73" s="22">
        <f t="shared" si="67"/>
        <v>1465.9124893872156</v>
      </c>
      <c r="AD73" s="43">
        <f t="shared" si="68"/>
        <v>0.6397551513264812</v>
      </c>
      <c r="AE73" s="22">
        <f t="shared" si="69"/>
        <v>1023.6146396738832</v>
      </c>
      <c r="AF73" s="22">
        <f t="shared" si="70"/>
        <v>452.63635315470742</v>
      </c>
      <c r="AG73" s="30">
        <f t="shared" si="71"/>
        <v>0.6933879432741803</v>
      </c>
    </row>
    <row r="74" spans="1:33" x14ac:dyDescent="0.2">
      <c r="A74" s="35">
        <f>P2_TaskV_Valuation!A74</f>
        <v>46006</v>
      </c>
      <c r="B74" s="36">
        <f>P2_TaskV_Valuation!B74</f>
        <v>1557.93</v>
      </c>
      <c r="C74" s="45">
        <f>P2_TaskV_Valuation!N74</f>
        <v>2.0661850963891323E-2</v>
      </c>
      <c r="D74" s="37">
        <f>P2_TaskV_Valuation!C74</f>
        <v>0.42699999999999999</v>
      </c>
      <c r="E74" s="46">
        <f>P2_TaskV_Valuation!D74</f>
        <v>1.5068493150684932</v>
      </c>
      <c r="F74" s="47">
        <f>P2_TaskV_Valuation!O74</f>
        <v>1.4661850963891323E-2</v>
      </c>
      <c r="G74" s="47">
        <f>P2_TaskV_Valuation!P74</f>
        <v>0.52415868662755483</v>
      </c>
      <c r="H74" s="47">
        <f>P2_TaskV_Valuation!Q74</f>
        <v>-0.41958574355208816</v>
      </c>
      <c r="I74" s="36">
        <f>P2_TaskV_Valuation!AB74</f>
        <v>1451.5979687091829</v>
      </c>
      <c r="J74" s="22">
        <f t="shared" si="48"/>
        <v>1573.5093000000002</v>
      </c>
      <c r="K74" s="28">
        <f t="shared" si="49"/>
        <v>-0.15333995266821115</v>
      </c>
      <c r="L74" s="28">
        <f t="shared" si="50"/>
        <v>1.075976727240914</v>
      </c>
      <c r="M74" s="28">
        <f t="shared" si="51"/>
        <v>-1.6968350584307474</v>
      </c>
      <c r="N74" s="28">
        <f t="shared" si="52"/>
        <v>-0.46751837852162159</v>
      </c>
      <c r="O74" s="28">
        <f t="shared" si="53"/>
        <v>581.17763148737924</v>
      </c>
      <c r="P74" s="28">
        <f t="shared" si="54"/>
        <v>343.44110628342702</v>
      </c>
      <c r="Q74" s="28">
        <f t="shared" si="55"/>
        <v>-7.8746712567309913</v>
      </c>
      <c r="R74" s="28">
        <f t="shared" si="56"/>
        <v>125.34501478485794</v>
      </c>
      <c r="S74" s="22">
        <f t="shared" si="57"/>
        <v>1462.0299779803945</v>
      </c>
      <c r="T74" s="22">
        <f t="shared" si="58"/>
        <v>1542.3507</v>
      </c>
      <c r="U74" s="28">
        <f t="shared" si="59"/>
        <v>-0.1914976083876162</v>
      </c>
      <c r="V74" s="28">
        <f t="shared" si="60"/>
        <v>1.0378190715215092</v>
      </c>
      <c r="W74" s="28">
        <f t="shared" si="61"/>
        <v>-1.658677402711342</v>
      </c>
      <c r="X74" s="28">
        <f t="shared" si="62"/>
        <v>-0.42936072280221671</v>
      </c>
      <c r="Y74" s="28">
        <f t="shared" si="63"/>
        <v>598.72929546276907</v>
      </c>
      <c r="Z74" s="28">
        <f t="shared" si="64"/>
        <v>360.09021635998045</v>
      </c>
      <c r="AA74" s="28">
        <f t="shared" si="65"/>
        <v>-8.6484138683443277</v>
      </c>
      <c r="AB74" s="28">
        <f t="shared" si="66"/>
        <v>128.98796634054503</v>
      </c>
      <c r="AC74" s="22">
        <f t="shared" si="67"/>
        <v>1440.9641737365405</v>
      </c>
      <c r="AD74" s="43">
        <f t="shared" si="68"/>
        <v>0.67608314378226286</v>
      </c>
      <c r="AE74" s="22">
        <f t="shared" si="69"/>
        <v>1053.2902121927009</v>
      </c>
      <c r="AF74" s="22">
        <f t="shared" si="70"/>
        <v>398.30775651648196</v>
      </c>
      <c r="AG74" s="30">
        <f t="shared" si="71"/>
        <v>0.72560738916528478</v>
      </c>
    </row>
    <row r="75" spans="1:33" x14ac:dyDescent="0.2">
      <c r="A75" s="35">
        <f>P2_TaskV_Valuation!A75</f>
        <v>46007</v>
      </c>
      <c r="B75" s="36">
        <f>P2_TaskV_Valuation!B75</f>
        <v>1487.14</v>
      </c>
      <c r="C75" s="45">
        <f>P2_TaskV_Valuation!N75</f>
        <v>2.0612913715935294E-2</v>
      </c>
      <c r="D75" s="37">
        <f>P2_TaskV_Valuation!C75</f>
        <v>0.45200000000000001</v>
      </c>
      <c r="E75" s="46">
        <f>P2_TaskV_Valuation!D75</f>
        <v>1.5041095890410958</v>
      </c>
      <c r="F75" s="47">
        <f>P2_TaskV_Valuation!O75</f>
        <v>1.4612913715935294E-2</v>
      </c>
      <c r="G75" s="47">
        <f>P2_TaskV_Valuation!P75</f>
        <v>0.554342498352284</v>
      </c>
      <c r="H75" s="47">
        <f>P2_TaskV_Valuation!Q75</f>
        <v>-0.42847465680586144</v>
      </c>
      <c r="I75" s="36">
        <f>P2_TaskV_Valuation!AB75</f>
        <v>1372.8071447494804</v>
      </c>
      <c r="J75" s="22">
        <f t="shared" si="48"/>
        <v>1502.0114000000001</v>
      </c>
      <c r="K75" s="28">
        <f t="shared" si="49"/>
        <v>-0.19972275499720393</v>
      </c>
      <c r="L75" s="28">
        <f t="shared" si="50"/>
        <v>0.96265793619242446</v>
      </c>
      <c r="M75" s="28">
        <f t="shared" si="51"/>
        <v>-1.4913970541462827</v>
      </c>
      <c r="N75" s="28">
        <f t="shared" si="52"/>
        <v>-0.32901636295665415</v>
      </c>
      <c r="O75" s="28">
        <f t="shared" si="53"/>
        <v>639.81901022730142</v>
      </c>
      <c r="P75" s="28">
        <f t="shared" si="54"/>
        <v>412.32801707992292</v>
      </c>
      <c r="Q75" s="28">
        <f t="shared" si="55"/>
        <v>-13.421830953091586</v>
      </c>
      <c r="R75" s="28">
        <f t="shared" si="56"/>
        <v>129.93591581750843</v>
      </c>
      <c r="S75" s="22">
        <f t="shared" si="57"/>
        <v>1383.2574691124992</v>
      </c>
      <c r="T75" s="22">
        <f t="shared" si="58"/>
        <v>1472.2686000000001</v>
      </c>
      <c r="U75" s="28">
        <f t="shared" si="59"/>
        <v>-0.23580273581433242</v>
      </c>
      <c r="V75" s="28">
        <f t="shared" si="60"/>
        <v>0.92657795537529586</v>
      </c>
      <c r="W75" s="28">
        <f t="shared" si="61"/>
        <v>-1.4553170733291538</v>
      </c>
      <c r="X75" s="28">
        <f t="shared" si="62"/>
        <v>-0.29293638213952533</v>
      </c>
      <c r="Y75" s="28">
        <f t="shared" si="63"/>
        <v>657.09656838271337</v>
      </c>
      <c r="Z75" s="28">
        <f t="shared" si="64"/>
        <v>429.69435179884039</v>
      </c>
      <c r="AA75" s="28">
        <f t="shared" si="65"/>
        <v>-14.574830855476868</v>
      </c>
      <c r="AB75" s="28">
        <f t="shared" si="66"/>
        <v>132.48749829716633</v>
      </c>
      <c r="AC75" s="22">
        <f t="shared" si="67"/>
        <v>1362.1865520115384</v>
      </c>
      <c r="AD75" s="43">
        <f t="shared" si="68"/>
        <v>0.70843757484032233</v>
      </c>
      <c r="AE75" s="22">
        <f t="shared" si="69"/>
        <v>1053.5458550480371</v>
      </c>
      <c r="AF75" s="22">
        <f t="shared" si="70"/>
        <v>319.26128970144327</v>
      </c>
      <c r="AG75" s="30">
        <f t="shared" si="71"/>
        <v>0.76743908208628653</v>
      </c>
    </row>
    <row r="76" spans="1:33" x14ac:dyDescent="0.2">
      <c r="A76" s="35">
        <f>P2_TaskV_Valuation!A76</f>
        <v>46008</v>
      </c>
      <c r="B76" s="36">
        <f>P2_TaskV_Valuation!B76</f>
        <v>1511.89</v>
      </c>
      <c r="C76" s="45">
        <f>P2_TaskV_Valuation!N76</f>
        <v>2.0520715884686392E-2</v>
      </c>
      <c r="D76" s="37">
        <f>P2_TaskV_Valuation!C76</f>
        <v>0.443</v>
      </c>
      <c r="E76" s="46">
        <f>P2_TaskV_Valuation!D76</f>
        <v>1.5013698630136987</v>
      </c>
      <c r="F76" s="47">
        <f>P2_TaskV_Valuation!O76</f>
        <v>1.4520715884686392E-2</v>
      </c>
      <c r="G76" s="47">
        <f>P2_TaskV_Valuation!P76</f>
        <v>0.54280966668490283</v>
      </c>
      <c r="H76" s="47">
        <f>P2_TaskV_Valuation!Q76</f>
        <v>-0.42600871400778401</v>
      </c>
      <c r="I76" s="36">
        <f>P2_TaskV_Valuation!AB76</f>
        <v>1401.3172163578718</v>
      </c>
      <c r="J76" s="22">
        <f t="shared" si="48"/>
        <v>1527.0089</v>
      </c>
      <c r="K76" s="28">
        <f t="shared" si="49"/>
        <v>-0.18554237287601011</v>
      </c>
      <c r="L76" s="28">
        <f t="shared" si="50"/>
        <v>1.0015348955259877</v>
      </c>
      <c r="M76" s="28">
        <f t="shared" si="51"/>
        <v>-1.5654761266690385</v>
      </c>
      <c r="N76" s="28">
        <f t="shared" si="52"/>
        <v>-0.37839885826704073</v>
      </c>
      <c r="O76" s="28">
        <f t="shared" si="53"/>
        <v>619.03855041081886</v>
      </c>
      <c r="P76" s="28">
        <f t="shared" si="54"/>
        <v>387.28537063696911</v>
      </c>
      <c r="Q76" s="28">
        <f t="shared" si="55"/>
        <v>-11.120771630934435</v>
      </c>
      <c r="R76" s="28">
        <f t="shared" si="56"/>
        <v>129.11531550465651</v>
      </c>
      <c r="S76" s="22">
        <f t="shared" si="57"/>
        <v>1411.7997058135743</v>
      </c>
      <c r="T76" s="22">
        <f t="shared" si="58"/>
        <v>1496.7711000000002</v>
      </c>
      <c r="U76" s="28">
        <f t="shared" si="59"/>
        <v>-0.22238892873935595</v>
      </c>
      <c r="V76" s="28">
        <f t="shared" si="60"/>
        <v>0.96468833966264178</v>
      </c>
      <c r="W76" s="28">
        <f t="shared" si="61"/>
        <v>-1.5286295708056921</v>
      </c>
      <c r="X76" s="28">
        <f t="shared" si="62"/>
        <v>-0.34155230240369489</v>
      </c>
      <c r="Y76" s="28">
        <f t="shared" si="63"/>
        <v>636.44261211769322</v>
      </c>
      <c r="Z76" s="28">
        <f t="shared" si="64"/>
        <v>404.45265233081295</v>
      </c>
      <c r="AA76" s="28">
        <f t="shared" si="65"/>
        <v>-12.124458644160697</v>
      </c>
      <c r="AB76" s="28">
        <f t="shared" si="66"/>
        <v>132.09095104209575</v>
      </c>
      <c r="AC76" s="22">
        <f t="shared" si="67"/>
        <v>1390.6531015690648</v>
      </c>
      <c r="AD76" s="43">
        <f t="shared" si="68"/>
        <v>0.6993433465566109</v>
      </c>
      <c r="AE76" s="22">
        <f t="shared" si="69"/>
        <v>1057.3302122254745</v>
      </c>
      <c r="AF76" s="22">
        <f t="shared" si="70"/>
        <v>343.98700413239726</v>
      </c>
      <c r="AG76" s="30">
        <f t="shared" si="71"/>
        <v>0.75452595592420879</v>
      </c>
    </row>
    <row r="77" spans="1:33" x14ac:dyDescent="0.2">
      <c r="A77" s="35">
        <f>P2_TaskV_Valuation!A77</f>
        <v>46009</v>
      </c>
      <c r="B77" s="36">
        <f>P2_TaskV_Valuation!B77</f>
        <v>1534.66</v>
      </c>
      <c r="C77" s="45">
        <f>P2_TaskV_Valuation!N77</f>
        <v>2.0512851832962892E-2</v>
      </c>
      <c r="D77" s="37">
        <f>P2_TaskV_Valuation!C77</f>
        <v>0.433</v>
      </c>
      <c r="E77" s="46">
        <f>P2_TaskV_Valuation!D77</f>
        <v>1.4986301369863013</v>
      </c>
      <c r="F77" s="47">
        <f>P2_TaskV_Valuation!O77</f>
        <v>1.4512851832962892E-2</v>
      </c>
      <c r="G77" s="47">
        <f>P2_TaskV_Valuation!P77</f>
        <v>0.5300723212481715</v>
      </c>
      <c r="H77" s="47">
        <f>P2_TaskV_Valuation!Q77</f>
        <v>-0.42259358238103095</v>
      </c>
      <c r="I77" s="36">
        <f>P2_TaskV_Valuation!AB77</f>
        <v>1429.8599491205846</v>
      </c>
      <c r="J77" s="22">
        <f t="shared" si="48"/>
        <v>1550.0066000000002</v>
      </c>
      <c r="K77" s="28">
        <f t="shared" si="49"/>
        <v>-0.17478796355177828</v>
      </c>
      <c r="L77" s="28">
        <f t="shared" si="50"/>
        <v>1.0408141166949951</v>
      </c>
      <c r="M77" s="28">
        <f t="shared" si="51"/>
        <v>-1.6442818767600127</v>
      </c>
      <c r="N77" s="28">
        <f t="shared" si="52"/>
        <v>-0.42867979651323912</v>
      </c>
      <c r="O77" s="28">
        <f t="shared" si="53"/>
        <v>598.47639437236387</v>
      </c>
      <c r="P77" s="28">
        <f t="shared" si="54"/>
        <v>362.22491185188369</v>
      </c>
      <c r="Q77" s="28">
        <f t="shared" si="55"/>
        <v>-9.0442894623271286</v>
      </c>
      <c r="R77" s="28">
        <f t="shared" si="56"/>
        <v>127.8111076401309</v>
      </c>
      <c r="S77" s="22">
        <f t="shared" si="57"/>
        <v>1440.3727454531881</v>
      </c>
      <c r="T77" s="22">
        <f t="shared" si="58"/>
        <v>1519.3134</v>
      </c>
      <c r="U77" s="28">
        <f t="shared" si="59"/>
        <v>-0.21251992182413953</v>
      </c>
      <c r="V77" s="28">
        <f t="shared" si="60"/>
        <v>1.0030821584226342</v>
      </c>
      <c r="W77" s="28">
        <f t="shared" si="61"/>
        <v>-1.6065499184876519</v>
      </c>
      <c r="X77" s="28">
        <f t="shared" si="62"/>
        <v>-0.39094783824087803</v>
      </c>
      <c r="Y77" s="28">
        <f t="shared" si="63"/>
        <v>616.02015822340945</v>
      </c>
      <c r="Z77" s="28">
        <f t="shared" si="64"/>
        <v>379.17788314355744</v>
      </c>
      <c r="AA77" s="28">
        <f t="shared" si="65"/>
        <v>-9.9056778781328276</v>
      </c>
      <c r="AB77" s="28">
        <f t="shared" si="66"/>
        <v>131.21641353521881</v>
      </c>
      <c r="AC77" s="22">
        <f t="shared" si="67"/>
        <v>1419.1530798506205</v>
      </c>
      <c r="AD77" s="43">
        <f t="shared" si="68"/>
        <v>0.69134745163644074</v>
      </c>
      <c r="AE77" s="22">
        <f t="shared" si="69"/>
        <v>1060.9832801283801</v>
      </c>
      <c r="AF77" s="22">
        <f t="shared" si="70"/>
        <v>368.87666899220449</v>
      </c>
      <c r="AG77" s="30">
        <f t="shared" si="71"/>
        <v>0.74201902136004516</v>
      </c>
    </row>
    <row r="78" spans="1:33" x14ac:dyDescent="0.2">
      <c r="A78" s="35">
        <f>P2_TaskV_Valuation!A78</f>
        <v>46010</v>
      </c>
      <c r="B78" s="36">
        <f>P2_TaskV_Valuation!B78</f>
        <v>1544.07</v>
      </c>
      <c r="C78" s="45">
        <f>P2_TaskV_Valuation!N78</f>
        <v>2.0674771142065174E-2</v>
      </c>
      <c r="D78" s="37">
        <f>P2_TaskV_Valuation!C78</f>
        <v>0.42099999999999999</v>
      </c>
      <c r="E78" s="46">
        <f>P2_TaskV_Valuation!D78</f>
        <v>1.4958904109589042</v>
      </c>
      <c r="F78" s="47">
        <f>P2_TaskV_Valuation!O78</f>
        <v>1.4674771142065174E-2</v>
      </c>
      <c r="G78" s="47">
        <f>P2_TaskV_Valuation!P78</f>
        <v>0.51491078094051124</v>
      </c>
      <c r="H78" s="47">
        <f>P2_TaskV_Valuation!Q78</f>
        <v>-0.41720442142582603</v>
      </c>
      <c r="I78" s="36">
        <f>P2_TaskV_Valuation!AB78</f>
        <v>1451.9665615058843</v>
      </c>
      <c r="J78" s="22">
        <f t="shared" si="48"/>
        <v>1559.5107</v>
      </c>
      <c r="K78" s="28">
        <f t="shared" si="49"/>
        <v>-0.18305434695565914</v>
      </c>
      <c r="L78" s="28">
        <f t="shared" si="50"/>
        <v>1.0683411185142262</v>
      </c>
      <c r="M78" s="28">
        <f t="shared" si="51"/>
        <v>-1.7195611309995016</v>
      </c>
      <c r="N78" s="28">
        <f t="shared" si="52"/>
        <v>-0.46816566552961625</v>
      </c>
      <c r="O78" s="28">
        <f t="shared" si="53"/>
        <v>583.63808419037787</v>
      </c>
      <c r="P78" s="28">
        <f t="shared" si="54"/>
        <v>341.7785324127077</v>
      </c>
      <c r="Q78" s="28">
        <f t="shared" si="55"/>
        <v>-7.34424132403133</v>
      </c>
      <c r="R78" s="28">
        <f t="shared" si="56"/>
        <v>127.37866331199194</v>
      </c>
      <c r="S78" s="22">
        <f t="shared" si="57"/>
        <v>1462.5908855912394</v>
      </c>
      <c r="T78" s="22">
        <f t="shared" si="58"/>
        <v>1528.6292999999998</v>
      </c>
      <c r="U78" s="28">
        <f t="shared" si="59"/>
        <v>-0.22189732217971159</v>
      </c>
      <c r="V78" s="28">
        <f t="shared" si="60"/>
        <v>1.0294981432901742</v>
      </c>
      <c r="W78" s="28">
        <f t="shared" si="61"/>
        <v>-1.6807181557754494</v>
      </c>
      <c r="X78" s="28">
        <f t="shared" si="62"/>
        <v>-0.42932269030556425</v>
      </c>
      <c r="Y78" s="28">
        <f t="shared" si="63"/>
        <v>601.39529615070614</v>
      </c>
      <c r="Z78" s="28">
        <f t="shared" si="64"/>
        <v>358.65660694522035</v>
      </c>
      <c r="AA78" s="28">
        <f t="shared" si="65"/>
        <v>-8.0857059092044494</v>
      </c>
      <c r="AB78" s="28">
        <f t="shared" si="66"/>
        <v>131.2150569566482</v>
      </c>
      <c r="AC78" s="22">
        <f t="shared" si="67"/>
        <v>1441.1349528288974</v>
      </c>
      <c r="AD78" s="43">
        <f t="shared" si="68"/>
        <v>0.69478497614557455</v>
      </c>
      <c r="AE78" s="22">
        <f t="shared" si="69"/>
        <v>1072.7966381170972</v>
      </c>
      <c r="AF78" s="22">
        <f t="shared" si="70"/>
        <v>379.16992338878708</v>
      </c>
      <c r="AG78" s="30">
        <f t="shared" si="71"/>
        <v>0.73885767521013912</v>
      </c>
    </row>
    <row r="79" spans="1:33" x14ac:dyDescent="0.2">
      <c r="A79" s="35">
        <f>P2_TaskV_Valuation!A79</f>
        <v>46013</v>
      </c>
      <c r="B79" s="36">
        <f>P2_TaskV_Valuation!B79</f>
        <v>1529.71</v>
      </c>
      <c r="C79" s="45">
        <f>P2_TaskV_Valuation!N79</f>
        <v>2.0664960446845817E-2</v>
      </c>
      <c r="D79" s="37">
        <f>P2_TaskV_Valuation!C79</f>
        <v>0.41</v>
      </c>
      <c r="E79" s="46">
        <f>P2_TaskV_Valuation!D79</f>
        <v>1.4876712328767123</v>
      </c>
      <c r="F79" s="47">
        <f>P2_TaskV_Valuation!O79</f>
        <v>1.4664960446845817E-2</v>
      </c>
      <c r="G79" s="47">
        <f>P2_TaskV_Valuation!P79</f>
        <v>0.50007752823594787</v>
      </c>
      <c r="H79" s="47">
        <f>P2_TaskV_Valuation!Q79</f>
        <v>-0.41276049704434375</v>
      </c>
      <c r="I79" s="36">
        <f>P2_TaskV_Valuation!AB79</f>
        <v>1457.7285096166368</v>
      </c>
      <c r="J79" s="22">
        <f t="shared" si="48"/>
        <v>1545.0071</v>
      </c>
      <c r="K79" s="28">
        <f t="shared" si="49"/>
        <v>-0.22249203685015101</v>
      </c>
      <c r="L79" s="28">
        <f t="shared" si="50"/>
        <v>1.0660222034587858</v>
      </c>
      <c r="M79" s="28">
        <f t="shared" si="51"/>
        <v>-1.7672058855265804</v>
      </c>
      <c r="N79" s="28">
        <f t="shared" si="52"/>
        <v>-0.47869164521764324</v>
      </c>
      <c r="O79" s="28">
        <f t="shared" si="53"/>
        <v>583.28911165268948</v>
      </c>
      <c r="P79" s="28">
        <f t="shared" si="54"/>
        <v>334.84197078749526</v>
      </c>
      <c r="Q79" s="28">
        <f t="shared" si="55"/>
        <v>-6.3718558433182046</v>
      </c>
      <c r="R79" s="28">
        <f t="shared" si="56"/>
        <v>129.61314294098918</v>
      </c>
      <c r="S79" s="22">
        <f t="shared" si="57"/>
        <v>1468.6231965405916</v>
      </c>
      <c r="T79" s="22">
        <f t="shared" si="58"/>
        <v>1514.4129</v>
      </c>
      <c r="U79" s="28">
        <f t="shared" si="59"/>
        <v>-0.26248716875944339</v>
      </c>
      <c r="V79" s="28">
        <f t="shared" si="60"/>
        <v>1.0260270715494937</v>
      </c>
      <c r="W79" s="28">
        <f t="shared" si="61"/>
        <v>-1.7272107536172883</v>
      </c>
      <c r="X79" s="28">
        <f t="shared" si="62"/>
        <v>-0.43869651330835108</v>
      </c>
      <c r="Y79" s="28">
        <f t="shared" si="63"/>
        <v>601.3541710217562</v>
      </c>
      <c r="Z79" s="28">
        <f t="shared" si="64"/>
        <v>351.9861604609606</v>
      </c>
      <c r="AA79" s="28">
        <f t="shared" si="65"/>
        <v>-7.046899464175695</v>
      </c>
      <c r="AB79" s="28">
        <f t="shared" si="66"/>
        <v>133.80117898570961</v>
      </c>
      <c r="AC79" s="22">
        <f t="shared" si="67"/>
        <v>1446.6159272015482</v>
      </c>
      <c r="AD79" s="43">
        <f t="shared" si="68"/>
        <v>0.71932815170991338</v>
      </c>
      <c r="AE79" s="22">
        <f t="shared" si="69"/>
        <v>1100.3634669521716</v>
      </c>
      <c r="AF79" s="22">
        <f t="shared" si="70"/>
        <v>357.36504266446514</v>
      </c>
      <c r="AG79" s="30">
        <f t="shared" si="71"/>
        <v>0.75484801161057935</v>
      </c>
    </row>
    <row r="80" spans="1:33" x14ac:dyDescent="0.2">
      <c r="A80" s="35">
        <f>P2_TaskV_Valuation!A80</f>
        <v>46014</v>
      </c>
      <c r="B80" s="36">
        <f>P2_TaskV_Valuation!B80</f>
        <v>1525.75</v>
      </c>
      <c r="C80" s="45">
        <f>P2_TaskV_Valuation!N80</f>
        <v>2.0671736417830128E-2</v>
      </c>
      <c r="D80" s="37">
        <f>P2_TaskV_Valuation!C80</f>
        <v>0.39700000000000002</v>
      </c>
      <c r="E80" s="46">
        <f>P2_TaskV_Valuation!D80</f>
        <v>1.484931506849315</v>
      </c>
      <c r="F80" s="47">
        <f>P2_TaskV_Valuation!O80</f>
        <v>1.4671736417830128E-2</v>
      </c>
      <c r="G80" s="47">
        <f>P2_TaskV_Valuation!P80</f>
        <v>0.48377532994460737</v>
      </c>
      <c r="H80" s="47">
        <f>P2_TaskV_Valuation!Q80</f>
        <v>-0.40691054179754887</v>
      </c>
      <c r="I80" s="36">
        <f>P2_TaskV_Valuation!AB80</f>
        <v>1472.6697451511709</v>
      </c>
      <c r="J80" s="22">
        <f t="shared" si="48"/>
        <v>1541.0074999999999</v>
      </c>
      <c r="K80" s="28">
        <f t="shared" si="49"/>
        <v>-0.25198669944525065</v>
      </c>
      <c r="L80" s="28">
        <f t="shared" si="50"/>
        <v>1.0799477265294941</v>
      </c>
      <c r="M80" s="28">
        <f t="shared" si="51"/>
        <v>-1.8380380558471208</v>
      </c>
      <c r="N80" s="28">
        <f t="shared" si="52"/>
        <v>-0.50610362987237589</v>
      </c>
      <c r="O80" s="28">
        <f t="shared" si="53"/>
        <v>576.02695351124976</v>
      </c>
      <c r="P80" s="28">
        <f t="shared" si="54"/>
        <v>320.44786543389432</v>
      </c>
      <c r="Q80" s="28">
        <f t="shared" si="55"/>
        <v>-5.177809201855375</v>
      </c>
      <c r="R80" s="28">
        <f t="shared" si="56"/>
        <v>130.12913673507489</v>
      </c>
      <c r="S80" s="22">
        <f t="shared" si="57"/>
        <v>1483.7856469318199</v>
      </c>
      <c r="T80" s="22">
        <f t="shared" si="58"/>
        <v>1510.4925000000001</v>
      </c>
      <c r="U80" s="28">
        <f t="shared" si="59"/>
        <v>-0.29332958211965143</v>
      </c>
      <c r="V80" s="28">
        <f t="shared" si="60"/>
        <v>1.0386048438550932</v>
      </c>
      <c r="W80" s="28">
        <f t="shared" si="61"/>
        <v>-1.7966951731727194</v>
      </c>
      <c r="X80" s="28">
        <f t="shared" si="62"/>
        <v>-0.46476074719797478</v>
      </c>
      <c r="Y80" s="28">
        <f t="shared" si="63"/>
        <v>594.3976037009221</v>
      </c>
      <c r="Z80" s="28">
        <f t="shared" si="64"/>
        <v>337.70085489272981</v>
      </c>
      <c r="AA80" s="28">
        <f t="shared" si="65"/>
        <v>-5.7604777231851259</v>
      </c>
      <c r="AB80" s="28">
        <f t="shared" si="66"/>
        <v>134.75798841778612</v>
      </c>
      <c r="AC80" s="22">
        <f t="shared" si="67"/>
        <v>1461.3211372689434</v>
      </c>
      <c r="AD80" s="43">
        <f t="shared" si="68"/>
        <v>0.73617924505575882</v>
      </c>
      <c r="AE80" s="22">
        <f t="shared" si="69"/>
        <v>1123.225483143824</v>
      </c>
      <c r="AF80" s="22">
        <f t="shared" si="70"/>
        <v>349.44426200734688</v>
      </c>
      <c r="AG80" s="30">
        <f t="shared" si="71"/>
        <v>0.762713763110903</v>
      </c>
    </row>
    <row r="81" spans="1:33" x14ac:dyDescent="0.2">
      <c r="A81" s="35">
        <f>P2_TaskV_Valuation!A81</f>
        <v>46020</v>
      </c>
      <c r="B81" s="36">
        <f>P2_TaskV_Valuation!B81</f>
        <v>1510.9</v>
      </c>
      <c r="C81" s="45">
        <f>P2_TaskV_Valuation!N81</f>
        <v>2.0455379885210109E-2</v>
      </c>
      <c r="D81" s="37">
        <f>P2_TaskV_Valuation!C81</f>
        <v>0.38700000000000001</v>
      </c>
      <c r="E81" s="46">
        <f>P2_TaskV_Valuation!D81</f>
        <v>1.4684931506849315</v>
      </c>
      <c r="F81" s="47">
        <f>P2_TaskV_Valuation!O81</f>
        <v>1.4455379885210109E-2</v>
      </c>
      <c r="G81" s="47">
        <f>P2_TaskV_Valuation!P81</f>
        <v>0.46897201482064099</v>
      </c>
      <c r="H81" s="47">
        <f>P2_TaskV_Valuation!Q81</f>
        <v>-0.40348216329674291</v>
      </c>
      <c r="I81" s="36">
        <f>P2_TaskV_Valuation!AB81</f>
        <v>1478.5677336636027</v>
      </c>
      <c r="J81" s="22">
        <f t="shared" si="48"/>
        <v>1526.009</v>
      </c>
      <c r="K81" s="28">
        <f t="shared" si="49"/>
        <v>-0.29702486256444882</v>
      </c>
      <c r="L81" s="28">
        <f t="shared" si="50"/>
        <v>1.076952679863</v>
      </c>
      <c r="M81" s="28">
        <f t="shared" si="51"/>
        <v>-1.8914298787800949</v>
      </c>
      <c r="N81" s="28">
        <f t="shared" si="52"/>
        <v>-0.51745233635264654</v>
      </c>
      <c r="O81" s="28">
        <f t="shared" si="53"/>
        <v>577.31771654708155</v>
      </c>
      <c r="P81" s="28">
        <f t="shared" si="54"/>
        <v>314.22328822596751</v>
      </c>
      <c r="Q81" s="28">
        <f t="shared" si="55"/>
        <v>-4.4025941856936477</v>
      </c>
      <c r="R81" s="28">
        <f t="shared" si="56"/>
        <v>132.19384806330214</v>
      </c>
      <c r="S81" s="22">
        <f t="shared" si="57"/>
        <v>1489.9964482879898</v>
      </c>
      <c r="T81" s="22">
        <f t="shared" si="58"/>
        <v>1495.7910000000002</v>
      </c>
      <c r="U81" s="28">
        <f t="shared" si="59"/>
        <v>-0.33967275214975523</v>
      </c>
      <c r="V81" s="28">
        <f t="shared" si="60"/>
        <v>1.0343047902776932</v>
      </c>
      <c r="W81" s="28">
        <f t="shared" si="61"/>
        <v>-1.848781989194789</v>
      </c>
      <c r="X81" s="28">
        <f t="shared" si="62"/>
        <v>-0.47480444676734024</v>
      </c>
      <c r="Y81" s="28">
        <f t="shared" si="63"/>
        <v>596.03390980473432</v>
      </c>
      <c r="Z81" s="28">
        <f t="shared" si="64"/>
        <v>331.78828758595881</v>
      </c>
      <c r="AA81" s="28">
        <f t="shared" si="65"/>
        <v>-4.9239973912172914</v>
      </c>
      <c r="AB81" s="28">
        <f t="shared" si="66"/>
        <v>137.21056172159302</v>
      </c>
      <c r="AC81" s="22">
        <f t="shared" si="67"/>
        <v>1466.8933320641841</v>
      </c>
      <c r="AD81" s="43">
        <f t="shared" si="68"/>
        <v>0.76454815751557759</v>
      </c>
      <c r="AE81" s="22">
        <f t="shared" si="69"/>
        <v>1155.1558111902862</v>
      </c>
      <c r="AF81" s="22">
        <f t="shared" si="70"/>
        <v>323.41192247331651</v>
      </c>
      <c r="AG81" s="30">
        <f t="shared" si="71"/>
        <v>0.78126675220217012</v>
      </c>
    </row>
    <row r="82" spans="1:33" x14ac:dyDescent="0.2">
      <c r="A82" s="35">
        <f>P2_TaskV_Valuation!A82</f>
        <v>46021</v>
      </c>
      <c r="B82" s="36">
        <f>P2_TaskV_Valuation!B82</f>
        <v>1545.55</v>
      </c>
      <c r="C82" s="45">
        <f>P2_TaskV_Valuation!N82</f>
        <v>2.0474888051291499E-2</v>
      </c>
      <c r="D82" s="37">
        <f>P2_TaskV_Valuation!C82</f>
        <v>0.38600000000000001</v>
      </c>
      <c r="E82" s="46">
        <f>P2_TaskV_Valuation!D82</f>
        <v>1.4657534246575343</v>
      </c>
      <c r="F82" s="47">
        <f>P2_TaskV_Valuation!O82</f>
        <v>1.4474888051291499E-2</v>
      </c>
      <c r="G82" s="47">
        <f>P2_TaskV_Valuation!P82</f>
        <v>0.46732365364945311</v>
      </c>
      <c r="H82" s="47">
        <f>P2_TaskV_Valuation!Q82</f>
        <v>-0.40285049228642716</v>
      </c>
      <c r="I82" s="36">
        <f>P2_TaskV_Valuation!AB82</f>
        <v>1506.3642645449609</v>
      </c>
      <c r="J82" s="22">
        <f t="shared" si="48"/>
        <v>1561.0055</v>
      </c>
      <c r="K82" s="28">
        <f t="shared" si="49"/>
        <v>-0.2512278147504714</v>
      </c>
      <c r="L82" s="28">
        <f t="shared" si="50"/>
        <v>1.1275960717756228</v>
      </c>
      <c r="M82" s="28">
        <f t="shared" si="51"/>
        <v>-1.9482957788623587</v>
      </c>
      <c r="N82" s="28">
        <f t="shared" si="52"/>
        <v>-0.56947189233626427</v>
      </c>
      <c r="O82" s="28">
        <f t="shared" si="53"/>
        <v>555.28409119360072</v>
      </c>
      <c r="P82" s="28">
        <f t="shared" si="54"/>
        <v>293.26825252381582</v>
      </c>
      <c r="Q82" s="28">
        <f t="shared" si="55"/>
        <v>-3.773009402084071</v>
      </c>
      <c r="R82" s="28">
        <f t="shared" si="56"/>
        <v>126.32588899117013</v>
      </c>
      <c r="S82" s="22">
        <f t="shared" si="57"/>
        <v>1517.502300051774</v>
      </c>
      <c r="T82" s="22">
        <f t="shared" si="58"/>
        <v>1530.0944999999999</v>
      </c>
      <c r="U82" s="28">
        <f t="shared" si="59"/>
        <v>-0.29402613353977114</v>
      </c>
      <c r="V82" s="28">
        <f t="shared" si="60"/>
        <v>1.0847977529863231</v>
      </c>
      <c r="W82" s="28">
        <f t="shared" si="61"/>
        <v>-1.905497460073059</v>
      </c>
      <c r="X82" s="28">
        <f t="shared" si="62"/>
        <v>-0.52667357354696476</v>
      </c>
      <c r="Y82" s="28">
        <f t="shared" si="63"/>
        <v>573.89487086545057</v>
      </c>
      <c r="Z82" s="28">
        <f t="shared" si="64"/>
        <v>310.21839723355083</v>
      </c>
      <c r="AA82" s="28">
        <f t="shared" si="65"/>
        <v>-4.2300975510286882</v>
      </c>
      <c r="AB82" s="28">
        <f t="shared" si="66"/>
        <v>131.44768567194728</v>
      </c>
      <c r="AC82" s="22">
        <f t="shared" si="67"/>
        <v>1494.973270512317</v>
      </c>
      <c r="AD82" s="43">
        <f t="shared" si="68"/>
        <v>0.72883535115192133</v>
      </c>
      <c r="AE82" s="22">
        <f t="shared" si="69"/>
        <v>1126.4514769728519</v>
      </c>
      <c r="AF82" s="22">
        <f t="shared" si="70"/>
        <v>379.91278757210898</v>
      </c>
      <c r="AG82" s="30">
        <f t="shared" si="71"/>
        <v>0.74779487504181319</v>
      </c>
    </row>
    <row r="83" spans="1:33" x14ac:dyDescent="0.2">
      <c r="A83" s="35">
        <f>P2_TaskV_Valuation!A83</f>
        <v>46024</v>
      </c>
      <c r="B83" s="36">
        <f>P2_TaskV_Valuation!B83</f>
        <v>1586.15</v>
      </c>
      <c r="C83" s="45">
        <f>P2_TaskV_Valuation!N83</f>
        <v>2.0551845884630299E-2</v>
      </c>
      <c r="D83" s="37">
        <f>P2_TaskV_Valuation!C83</f>
        <v>0.38700000000000001</v>
      </c>
      <c r="E83" s="46">
        <f>P2_TaskV_Valuation!D83</f>
        <v>1.4575342465753425</v>
      </c>
      <c r="F83" s="47">
        <f>P2_TaskV_Valuation!O83</f>
        <v>1.4551845884630299E-2</v>
      </c>
      <c r="G83" s="47">
        <f>P2_TaskV_Valuation!P83</f>
        <v>0.46721884227344951</v>
      </c>
      <c r="H83" s="47">
        <f>P2_TaskV_Valuation!Q83</f>
        <v>-0.40283806472213679</v>
      </c>
      <c r="I83" s="36">
        <f>P2_TaskV_Valuation!AB83</f>
        <v>1535.2945232019101</v>
      </c>
      <c r="J83" s="22">
        <f t="shared" si="48"/>
        <v>1602.0115000000001</v>
      </c>
      <c r="K83" s="28">
        <f t="shared" si="49"/>
        <v>-0.19590523351308947</v>
      </c>
      <c r="L83" s="28">
        <f t="shared" si="50"/>
        <v>1.1832279650863582</v>
      </c>
      <c r="M83" s="28">
        <f t="shared" si="51"/>
        <v>-2.0043505475852146</v>
      </c>
      <c r="N83" s="28">
        <f t="shared" si="52"/>
        <v>-0.62521734898576664</v>
      </c>
      <c r="O83" s="28">
        <f t="shared" si="53"/>
        <v>531.33984174852617</v>
      </c>
      <c r="P83" s="28">
        <f t="shared" si="54"/>
        <v>272.03585760141164</v>
      </c>
      <c r="Q83" s="28">
        <f t="shared" si="55"/>
        <v>-3.2403858413836062</v>
      </c>
      <c r="R83" s="28">
        <f t="shared" si="56"/>
        <v>119.64580113050656</v>
      </c>
      <c r="S83" s="22">
        <f t="shared" si="57"/>
        <v>1546.0563273061805</v>
      </c>
      <c r="T83" s="22">
        <f t="shared" si="58"/>
        <v>1570.2885000000001</v>
      </c>
      <c r="U83" s="28">
        <f t="shared" si="59"/>
        <v>-0.23871315326510084</v>
      </c>
      <c r="V83" s="28">
        <f t="shared" si="60"/>
        <v>1.1404200453343469</v>
      </c>
      <c r="W83" s="28">
        <f t="shared" si="61"/>
        <v>-1.9615426278332027</v>
      </c>
      <c r="X83" s="28">
        <f t="shared" si="62"/>
        <v>-0.58240942923375516</v>
      </c>
      <c r="Y83" s="28">
        <f t="shared" si="63"/>
        <v>549.76709320964028</v>
      </c>
      <c r="Z83" s="28">
        <f t="shared" si="64"/>
        <v>288.26283334294982</v>
      </c>
      <c r="AA83" s="28">
        <f t="shared" si="65"/>
        <v>-3.6403057314185823</v>
      </c>
      <c r="AB83" s="28">
        <f t="shared" si="66"/>
        <v>124.80048862750704</v>
      </c>
      <c r="AC83" s="22">
        <f t="shared" si="67"/>
        <v>1524.2747441776069</v>
      </c>
      <c r="AD83" s="43">
        <f t="shared" si="68"/>
        <v>0.68661800991626354</v>
      </c>
      <c r="AE83" s="22">
        <f t="shared" si="69"/>
        <v>1089.0791564286815</v>
      </c>
      <c r="AF83" s="22">
        <f t="shared" si="70"/>
        <v>446.21536677322865</v>
      </c>
      <c r="AG83" s="30">
        <f t="shared" si="71"/>
        <v>0.70936171527360692</v>
      </c>
    </row>
    <row r="84" spans="1:33" x14ac:dyDescent="0.2">
      <c r="A84" s="35">
        <f>P2_TaskV_Valuation!A84</f>
        <v>46027</v>
      </c>
      <c r="B84" s="36">
        <f>P2_TaskV_Valuation!B84</f>
        <v>1734.66</v>
      </c>
      <c r="C84" s="45">
        <f>P2_TaskV_Valuation!N84</f>
        <v>2.0619808378949053E-2</v>
      </c>
      <c r="D84" s="37">
        <f>P2_TaskV_Valuation!C84</f>
        <v>0.51200000000000001</v>
      </c>
      <c r="E84" s="46">
        <f>P2_TaskV_Valuation!D84</f>
        <v>1.4493150684931506</v>
      </c>
      <c r="F84" s="47">
        <f>P2_TaskV_Valuation!O84</f>
        <v>1.4619808378949052E-2</v>
      </c>
      <c r="G84" s="47">
        <f>P2_TaskV_Valuation!P84</f>
        <v>0.61638401124223563</v>
      </c>
      <c r="H84" s="47">
        <f>P2_TaskV_Valuation!Q84</f>
        <v>-0.4442298569528616</v>
      </c>
      <c r="I84" s="36">
        <f>P2_TaskV_Valuation!AB84</f>
        <v>1462.8696377263939</v>
      </c>
      <c r="J84" s="22">
        <f t="shared" si="48"/>
        <v>1752.0066000000002</v>
      </c>
      <c r="K84" s="28">
        <f t="shared" si="49"/>
        <v>0.12779032368365356</v>
      </c>
      <c r="L84" s="28">
        <f t="shared" si="50"/>
        <v>1.1731727551518256</v>
      </c>
      <c r="M84" s="28">
        <f t="shared" si="51"/>
        <v>-1.5334195264198651</v>
      </c>
      <c r="N84" s="28">
        <f t="shared" si="52"/>
        <v>-0.4880370949516929</v>
      </c>
      <c r="O84" s="28">
        <f t="shared" si="53"/>
        <v>554.27756935687341</v>
      </c>
      <c r="P84" s="28">
        <f t="shared" si="54"/>
        <v>351.61226765809675</v>
      </c>
      <c r="Q84" s="28">
        <f t="shared" si="55"/>
        <v>-13.241160540345341</v>
      </c>
      <c r="R84" s="28">
        <f t="shared" si="56"/>
        <v>104.59379342812548</v>
      </c>
      <c r="S84" s="22">
        <f t="shared" si="57"/>
        <v>1471.6678391782691</v>
      </c>
      <c r="T84" s="22">
        <f t="shared" si="58"/>
        <v>1717.3134</v>
      </c>
      <c r="U84" s="28">
        <f t="shared" si="59"/>
        <v>9.5341937057983356E-2</v>
      </c>
      <c r="V84" s="28">
        <f t="shared" si="60"/>
        <v>1.1407243685261552</v>
      </c>
      <c r="W84" s="28">
        <f t="shared" si="61"/>
        <v>-1.5009711397941947</v>
      </c>
      <c r="X84" s="28">
        <f t="shared" si="62"/>
        <v>-0.45558870832602272</v>
      </c>
      <c r="Y84" s="28">
        <f t="shared" si="63"/>
        <v>569.94570719485773</v>
      </c>
      <c r="Z84" s="28">
        <f t="shared" si="64"/>
        <v>366.17773027827963</v>
      </c>
      <c r="AA84" s="28">
        <f t="shared" si="65"/>
        <v>-14.268852613003915</v>
      </c>
      <c r="AB84" s="28">
        <f t="shared" si="66"/>
        <v>106.75819722049204</v>
      </c>
      <c r="AC84" s="22">
        <f t="shared" si="67"/>
        <v>1453.9102806930609</v>
      </c>
      <c r="AD84" s="43">
        <f t="shared" si="68"/>
        <v>0.51184550532116269</v>
      </c>
      <c r="AE84" s="22">
        <f t="shared" si="69"/>
        <v>887.87792426040812</v>
      </c>
      <c r="AF84" s="22">
        <f t="shared" si="70"/>
        <v>574.99171346598575</v>
      </c>
      <c r="AG84" s="30">
        <f t="shared" si="71"/>
        <v>0.60694261563891405</v>
      </c>
    </row>
    <row r="85" spans="1:33" x14ac:dyDescent="0.2">
      <c r="A85" s="35">
        <f>P2_TaskV_Valuation!A85</f>
        <v>46028</v>
      </c>
      <c r="B85" s="36">
        <f>P2_TaskV_Valuation!B85</f>
        <v>1723.27</v>
      </c>
      <c r="C85" s="45">
        <f>P2_TaskV_Valuation!N85</f>
        <v>2.0337272116661597E-2</v>
      </c>
      <c r="D85" s="37">
        <f>P2_TaskV_Valuation!C85</f>
        <v>0.497</v>
      </c>
      <c r="E85" s="46">
        <f>P2_TaskV_Valuation!D85</f>
        <v>1.4465753424657535</v>
      </c>
      <c r="F85" s="47">
        <f>P2_TaskV_Valuation!O85</f>
        <v>1.4337272116661597E-2</v>
      </c>
      <c r="G85" s="47">
        <f>P2_TaskV_Valuation!P85</f>
        <v>0.59776009298641142</v>
      </c>
      <c r="H85" s="47">
        <f>P2_TaskV_Valuation!Q85</f>
        <v>-0.44195647884627037</v>
      </c>
      <c r="I85" s="36">
        <f>P2_TaskV_Valuation!AB85</f>
        <v>1475.8489457716278</v>
      </c>
      <c r="J85" s="22">
        <f t="shared" si="48"/>
        <v>1740.5027</v>
      </c>
      <c r="K85" s="28">
        <f t="shared" si="49"/>
        <v>0.10108621903887438</v>
      </c>
      <c r="L85" s="28">
        <f t="shared" si="50"/>
        <v>1.1790387688173374</v>
      </c>
      <c r="M85" s="28">
        <f t="shared" si="51"/>
        <v>-1.5898390244051646</v>
      </c>
      <c r="N85" s="28">
        <f t="shared" si="52"/>
        <v>-0.51188647462670156</v>
      </c>
      <c r="O85" s="28">
        <f t="shared" si="53"/>
        <v>547.29133171716273</v>
      </c>
      <c r="P85" s="28">
        <f t="shared" si="54"/>
        <v>339.12713788769872</v>
      </c>
      <c r="Q85" s="28">
        <f t="shared" si="55"/>
        <v>-11.346535560042135</v>
      </c>
      <c r="R85" s="28">
        <f t="shared" si="56"/>
        <v>106.7271394813651</v>
      </c>
      <c r="S85" s="22">
        <f t="shared" si="57"/>
        <v>1484.8174697544173</v>
      </c>
      <c r="T85" s="22">
        <f t="shared" si="58"/>
        <v>1706.0373</v>
      </c>
      <c r="U85" s="28">
        <f t="shared" si="59"/>
        <v>6.7626864790674035E-2</v>
      </c>
      <c r="V85" s="28">
        <f t="shared" si="60"/>
        <v>1.1455794145691371</v>
      </c>
      <c r="W85" s="28">
        <f t="shared" si="61"/>
        <v>-1.5563796701569643</v>
      </c>
      <c r="X85" s="28">
        <f t="shared" si="62"/>
        <v>-0.47842712037850127</v>
      </c>
      <c r="Y85" s="28">
        <f t="shared" si="63"/>
        <v>563.22591278415348</v>
      </c>
      <c r="Z85" s="28">
        <f t="shared" si="64"/>
        <v>353.81364176886063</v>
      </c>
      <c r="AA85" s="28">
        <f t="shared" si="65"/>
        <v>-12.275028252814181</v>
      </c>
      <c r="AB85" s="28">
        <f t="shared" si="66"/>
        <v>109.21898388310672</v>
      </c>
      <c r="AC85" s="22">
        <f t="shared" si="67"/>
        <v>1466.7106287787417</v>
      </c>
      <c r="AD85" s="43">
        <f t="shared" si="68"/>
        <v>0.52536285595628063</v>
      </c>
      <c r="AE85" s="22">
        <f t="shared" si="69"/>
        <v>905.34204878377966</v>
      </c>
      <c r="AF85" s="22">
        <f t="shared" si="70"/>
        <v>570.50689698784811</v>
      </c>
      <c r="AG85" s="30">
        <f t="shared" si="71"/>
        <v>0.61343815122653611</v>
      </c>
    </row>
    <row r="86" spans="1:33" x14ac:dyDescent="0.2">
      <c r="A86" s="35">
        <f>P2_TaskV_Valuation!A86</f>
        <v>46029</v>
      </c>
      <c r="B86" s="36">
        <f>P2_TaskV_Valuation!B86</f>
        <v>1806.94</v>
      </c>
      <c r="C86" s="45">
        <f>P2_TaskV_Valuation!N86</f>
        <v>2.0236399041166708E-2</v>
      </c>
      <c r="D86" s="37">
        <f>P2_TaskV_Valuation!C86</f>
        <v>0.51600000000000001</v>
      </c>
      <c r="E86" s="46">
        <f>P2_TaskV_Valuation!D86</f>
        <v>1.4438356164383561</v>
      </c>
      <c r="F86" s="47">
        <f>P2_TaskV_Valuation!O86</f>
        <v>1.4236399041166707E-2</v>
      </c>
      <c r="G86" s="47">
        <f>P2_TaskV_Valuation!P86</f>
        <v>0.62002410912029138</v>
      </c>
      <c r="H86" s="47">
        <f>P2_TaskV_Valuation!Q86</f>
        <v>-0.44653116158446493</v>
      </c>
      <c r="I86" s="36">
        <f>P2_TaskV_Valuation!AB86</f>
        <v>1495.3496655195408</v>
      </c>
      <c r="J86" s="22">
        <f t="shared" si="48"/>
        <v>1825.0094000000001</v>
      </c>
      <c r="K86" s="28">
        <f t="shared" si="49"/>
        <v>0.19548905162546115</v>
      </c>
      <c r="L86" s="28">
        <f t="shared" si="50"/>
        <v>1.2347341501825904</v>
      </c>
      <c r="M86" s="28">
        <f t="shared" si="51"/>
        <v>-1.5876512018108497</v>
      </c>
      <c r="N86" s="28">
        <f t="shared" si="52"/>
        <v>-0.54840610325372074</v>
      </c>
      <c r="O86" s="28">
        <f t="shared" si="53"/>
        <v>526.13573565145805</v>
      </c>
      <c r="P86" s="28">
        <f t="shared" si="54"/>
        <v>326.9911370774542</v>
      </c>
      <c r="Q86" s="28">
        <f t="shared" si="55"/>
        <v>-11.739933174198597</v>
      </c>
      <c r="R86" s="28">
        <f t="shared" si="56"/>
        <v>99.847952594836897</v>
      </c>
      <c r="S86" s="22">
        <f t="shared" si="57"/>
        <v>1503.8303492421501</v>
      </c>
      <c r="T86" s="22">
        <f t="shared" si="58"/>
        <v>1788.8706</v>
      </c>
      <c r="U86" s="28">
        <f t="shared" si="59"/>
        <v>0.16323116614573813</v>
      </c>
      <c r="V86" s="28">
        <f t="shared" si="60"/>
        <v>1.2024762647028671</v>
      </c>
      <c r="W86" s="28">
        <f t="shared" si="61"/>
        <v>-1.5553933163311269</v>
      </c>
      <c r="X86" s="28">
        <f t="shared" si="62"/>
        <v>-0.51614821777399811</v>
      </c>
      <c r="Y86" s="28">
        <f t="shared" si="63"/>
        <v>541.49872567164448</v>
      </c>
      <c r="Z86" s="28">
        <f t="shared" si="64"/>
        <v>340.91152175067953</v>
      </c>
      <c r="AA86" s="28">
        <f t="shared" si="65"/>
        <v>-12.662297173393064</v>
      </c>
      <c r="AB86" s="28">
        <f t="shared" si="66"/>
        <v>102.1296117979482</v>
      </c>
      <c r="AC86" s="22">
        <f t="shared" si="67"/>
        <v>1486.7059413666191</v>
      </c>
      <c r="AD86" s="43">
        <f t="shared" si="68"/>
        <v>0.47385103754222618</v>
      </c>
      <c r="AE86" s="22">
        <f t="shared" si="69"/>
        <v>856.22039377655017</v>
      </c>
      <c r="AF86" s="22">
        <f t="shared" si="70"/>
        <v>639.12927174299068</v>
      </c>
      <c r="AG86" s="30">
        <f t="shared" si="71"/>
        <v>0.57258874865168541</v>
      </c>
    </row>
    <row r="87" spans="1:33" x14ac:dyDescent="0.2">
      <c r="A87" s="35">
        <f>P2_TaskV_Valuation!A87</f>
        <v>46030</v>
      </c>
      <c r="B87" s="36">
        <f>P2_TaskV_Valuation!B87</f>
        <v>1832.68</v>
      </c>
      <c r="C87" s="45">
        <f>P2_TaskV_Valuation!N87</f>
        <v>2.0298738806186965E-2</v>
      </c>
      <c r="D87" s="37">
        <f>P2_TaskV_Valuation!C87</f>
        <v>0.503</v>
      </c>
      <c r="E87" s="46">
        <f>P2_TaskV_Valuation!D87</f>
        <v>1.441095890410959</v>
      </c>
      <c r="F87" s="47">
        <f>P2_TaskV_Valuation!O87</f>
        <v>1.4298738806186964E-2</v>
      </c>
      <c r="G87" s="47">
        <f>P2_TaskV_Valuation!P87</f>
        <v>0.60382963668321732</v>
      </c>
      <c r="H87" s="47">
        <f>P2_TaskV_Valuation!Q87</f>
        <v>-0.44348525623125273</v>
      </c>
      <c r="I87" s="36">
        <f>P2_TaskV_Valuation!AB87</f>
        <v>1523.8872691132417</v>
      </c>
      <c r="J87" s="22">
        <f t="shared" si="48"/>
        <v>1851.0068000000001</v>
      </c>
      <c r="K87" s="28">
        <f t="shared" si="49"/>
        <v>0.20782930795520091</v>
      </c>
      <c r="L87" s="28">
        <f t="shared" si="50"/>
        <v>1.2749465497154915</v>
      </c>
      <c r="M87" s="28">
        <f t="shared" si="51"/>
        <v>-1.6699836003983093</v>
      </c>
      <c r="N87" s="28">
        <f t="shared" si="52"/>
        <v>-0.60286635863801874</v>
      </c>
      <c r="O87" s="28">
        <f t="shared" si="53"/>
        <v>503.71578519144248</v>
      </c>
      <c r="P87" s="28">
        <f t="shared" si="54"/>
        <v>302.026563181141</v>
      </c>
      <c r="Q87" s="28">
        <f t="shared" si="55"/>
        <v>-9.4424664723414224</v>
      </c>
      <c r="R87" s="28">
        <f t="shared" si="56"/>
        <v>98.558339920461776</v>
      </c>
      <c r="S87" s="22">
        <f t="shared" si="57"/>
        <v>1532.3151937357161</v>
      </c>
      <c r="T87" s="22">
        <f t="shared" si="58"/>
        <v>1814.3532</v>
      </c>
      <c r="U87" s="28">
        <f t="shared" si="59"/>
        <v>0.17470627872375824</v>
      </c>
      <c r="V87" s="28">
        <f t="shared" si="60"/>
        <v>1.2418235204840489</v>
      </c>
      <c r="W87" s="28">
        <f t="shared" si="61"/>
        <v>-1.6368605711668667</v>
      </c>
      <c r="X87" s="28">
        <f t="shared" si="62"/>
        <v>-0.56974332940657635</v>
      </c>
      <c r="Y87" s="28">
        <f t="shared" si="63"/>
        <v>519.12818965516874</v>
      </c>
      <c r="Z87" s="28">
        <f t="shared" si="64"/>
        <v>315.65072926672826</v>
      </c>
      <c r="AA87" s="28">
        <f t="shared" si="65"/>
        <v>-10.22855610669874</v>
      </c>
      <c r="AB87" s="28">
        <f t="shared" si="66"/>
        <v>101.17565433499709</v>
      </c>
      <c r="AC87" s="22">
        <f t="shared" si="67"/>
        <v>1515.2876236012364</v>
      </c>
      <c r="AD87" s="43">
        <f t="shared" si="68"/>
        <v>0.4645538264857933</v>
      </c>
      <c r="AE87" s="22">
        <f t="shared" si="69"/>
        <v>851.37850672398372</v>
      </c>
      <c r="AF87" s="22">
        <f t="shared" si="70"/>
        <v>672.50876238925798</v>
      </c>
      <c r="AG87" s="30">
        <f t="shared" si="71"/>
        <v>0.55868864054452372</v>
      </c>
    </row>
    <row r="88" spans="1:33" x14ac:dyDescent="0.2">
      <c r="A88" s="35">
        <f>P2_TaskV_Valuation!A88</f>
        <v>46031</v>
      </c>
      <c r="B88" s="36">
        <f>P2_TaskV_Valuation!B88</f>
        <v>1881.2</v>
      </c>
      <c r="C88" s="45">
        <f>P2_TaskV_Valuation!N88</f>
        <v>2.0438767251880884E-2</v>
      </c>
      <c r="D88" s="37">
        <f>P2_TaskV_Valuation!C88</f>
        <v>0.498</v>
      </c>
      <c r="E88" s="46">
        <f>P2_TaskV_Valuation!D88</f>
        <v>1.4383561643835616</v>
      </c>
      <c r="F88" s="47">
        <f>P2_TaskV_Valuation!O88</f>
        <v>1.4438767251880884E-2</v>
      </c>
      <c r="G88" s="47">
        <f>P2_TaskV_Valuation!P88</f>
        <v>0.59725880670926967</v>
      </c>
      <c r="H88" s="47">
        <f>P2_TaskV_Valuation!Q88</f>
        <v>-0.44178010333752327</v>
      </c>
      <c r="I88" s="36">
        <f>P2_TaskV_Valuation!AB88</f>
        <v>1552.5704386561981</v>
      </c>
      <c r="J88" s="22">
        <f t="shared" si="48"/>
        <v>1900.0120000000002</v>
      </c>
      <c r="K88" s="28">
        <f t="shared" si="49"/>
        <v>0.24753113842769389</v>
      </c>
      <c r="L88" s="28">
        <f t="shared" si="50"/>
        <v>1.3263884263440355</v>
      </c>
      <c r="M88" s="28">
        <f t="shared" si="51"/>
        <v>-1.7384422155363721</v>
      </c>
      <c r="N88" s="28">
        <f t="shared" si="52"/>
        <v>-0.65958492762003029</v>
      </c>
      <c r="O88" s="28">
        <f t="shared" si="53"/>
        <v>478.85475433091062</v>
      </c>
      <c r="P88" s="28">
        <f t="shared" si="54"/>
        <v>278.45571173199846</v>
      </c>
      <c r="Q88" s="28">
        <f t="shared" si="55"/>
        <v>-7.9081528459884254</v>
      </c>
      <c r="R88" s="28">
        <f t="shared" si="56"/>
        <v>94.917222256162432</v>
      </c>
      <c r="S88" s="22">
        <f t="shared" si="57"/>
        <v>1560.7783078557848</v>
      </c>
      <c r="T88" s="22">
        <f t="shared" si="58"/>
        <v>1862.3879999999999</v>
      </c>
      <c r="U88" s="28">
        <f t="shared" si="59"/>
        <v>0.2140437013535253</v>
      </c>
      <c r="V88" s="28">
        <f t="shared" si="60"/>
        <v>1.2929009892698671</v>
      </c>
      <c r="W88" s="28">
        <f t="shared" si="61"/>
        <v>-1.7049547784622037</v>
      </c>
      <c r="X88" s="28">
        <f t="shared" si="62"/>
        <v>-0.62609749054586183</v>
      </c>
      <c r="Y88" s="28">
        <f t="shared" si="63"/>
        <v>494.10038784281994</v>
      </c>
      <c r="Z88" s="28">
        <f t="shared" si="64"/>
        <v>291.56695345983456</v>
      </c>
      <c r="AA88" s="28">
        <f t="shared" si="65"/>
        <v>-8.5905835973865621</v>
      </c>
      <c r="AB88" s="28">
        <f t="shared" si="66"/>
        <v>97.715466460208063</v>
      </c>
      <c r="AC88" s="22">
        <f t="shared" si="67"/>
        <v>1544.1863911725045</v>
      </c>
      <c r="AD88" s="43">
        <f t="shared" si="68"/>
        <v>0.44099289504784872</v>
      </c>
      <c r="AE88" s="22">
        <f t="shared" si="69"/>
        <v>829.59583416401301</v>
      </c>
      <c r="AF88" s="22">
        <f t="shared" si="70"/>
        <v>722.97460449218511</v>
      </c>
      <c r="AG88" s="30">
        <f t="shared" si="71"/>
        <v>0.53433700237269499</v>
      </c>
    </row>
    <row r="89" spans="1:33" x14ac:dyDescent="0.2">
      <c r="A89" s="35">
        <f>P2_TaskV_Valuation!A89</f>
        <v>46034</v>
      </c>
      <c r="B89" s="36">
        <f>P2_TaskV_Valuation!B89</f>
        <v>1871.3</v>
      </c>
      <c r="C89" s="45">
        <f>P2_TaskV_Valuation!N89</f>
        <v>2.0337039043745911E-2</v>
      </c>
      <c r="D89" s="37">
        <f>P2_TaskV_Valuation!C89</f>
        <v>0.48399999999999999</v>
      </c>
      <c r="E89" s="46">
        <f>P2_TaskV_Valuation!D89</f>
        <v>1.4301369863013698</v>
      </c>
      <c r="F89" s="47">
        <f>P2_TaskV_Valuation!O89</f>
        <v>1.4337039043745911E-2</v>
      </c>
      <c r="G89" s="47">
        <f>P2_TaskV_Valuation!P89</f>
        <v>0.57880754129763512</v>
      </c>
      <c r="H89" s="47">
        <f>P2_TaskV_Valuation!Q89</f>
        <v>-0.43879755889391986</v>
      </c>
      <c r="I89" s="36">
        <f>P2_TaskV_Valuation!AB89</f>
        <v>1567.9442032824945</v>
      </c>
      <c r="J89" s="22">
        <f t="shared" si="48"/>
        <v>1890.0129999999999</v>
      </c>
      <c r="K89" s="28">
        <f t="shared" si="49"/>
        <v>0.22710405818511786</v>
      </c>
      <c r="L89" s="28">
        <f t="shared" si="50"/>
        <v>1.3403532306923074</v>
      </c>
      <c r="M89" s="28">
        <f t="shared" si="51"/>
        <v>-1.8039459929858155</v>
      </c>
      <c r="N89" s="28">
        <f t="shared" si="52"/>
        <v>-0.69069682047862535</v>
      </c>
      <c r="O89" s="28">
        <f t="shared" si="53"/>
        <v>469.78645792856389</v>
      </c>
      <c r="P89" s="28">
        <f t="shared" si="54"/>
        <v>264.76662424254971</v>
      </c>
      <c r="Q89" s="28">
        <f t="shared" si="55"/>
        <v>-6.5485933726238912</v>
      </c>
      <c r="R89" s="28">
        <f t="shared" si="56"/>
        <v>95.112599277564726</v>
      </c>
      <c r="S89" s="22">
        <f t="shared" si="57"/>
        <v>1576.2404605692616</v>
      </c>
      <c r="T89" s="22">
        <f t="shared" si="58"/>
        <v>1852.587</v>
      </c>
      <c r="U89" s="28">
        <f t="shared" si="59"/>
        <v>0.19254910635807398</v>
      </c>
      <c r="V89" s="28">
        <f t="shared" si="60"/>
        <v>1.3057982788652636</v>
      </c>
      <c r="W89" s="28">
        <f t="shared" si="61"/>
        <v>-1.7693910411587712</v>
      </c>
      <c r="X89" s="28">
        <f t="shared" si="62"/>
        <v>-0.65614186865158153</v>
      </c>
      <c r="Y89" s="28">
        <f t="shared" si="63"/>
        <v>485.25541772718339</v>
      </c>
      <c r="Z89" s="28">
        <f t="shared" si="64"/>
        <v>277.85715064209001</v>
      </c>
      <c r="AA89" s="28">
        <f t="shared" si="65"/>
        <v>-7.1463177866969616</v>
      </c>
      <c r="AB89" s="28">
        <f t="shared" si="66"/>
        <v>98.202350584949983</v>
      </c>
      <c r="AC89" s="22">
        <f t="shared" si="67"/>
        <v>1559.4624584482631</v>
      </c>
      <c r="AD89" s="43">
        <f t="shared" si="68"/>
        <v>0.44829803134180801</v>
      </c>
      <c r="AE89" s="22">
        <f t="shared" si="69"/>
        <v>838.90010604992528</v>
      </c>
      <c r="AF89" s="22">
        <f t="shared" si="70"/>
        <v>729.04409723256924</v>
      </c>
      <c r="AG89" s="30">
        <f t="shared" si="71"/>
        <v>0.53503186165278471</v>
      </c>
    </row>
    <row r="90" spans="1:33" x14ac:dyDescent="0.2">
      <c r="A90" s="35">
        <f>P2_TaskV_Valuation!A90</f>
        <v>46035</v>
      </c>
      <c r="B90" s="36">
        <f>P2_TaskV_Valuation!B90</f>
        <v>1885.16</v>
      </c>
      <c r="C90" s="45">
        <f>P2_TaskV_Valuation!N90</f>
        <v>2.0332303609606042E-2</v>
      </c>
      <c r="D90" s="37">
        <f>P2_TaskV_Valuation!C90</f>
        <v>0.47</v>
      </c>
      <c r="E90" s="46">
        <f>P2_TaskV_Valuation!D90</f>
        <v>1.4273972602739726</v>
      </c>
      <c r="F90" s="47">
        <f>P2_TaskV_Valuation!O90</f>
        <v>1.4332303609606042E-2</v>
      </c>
      <c r="G90" s="47">
        <f>P2_TaskV_Valuation!P90</f>
        <v>0.56152653970629074</v>
      </c>
      <c r="H90" s="47">
        <f>P2_TaskV_Valuation!Q90</f>
        <v>-0.43511858936348558</v>
      </c>
      <c r="I90" s="36">
        <f>P2_TaskV_Valuation!AB90</f>
        <v>1592.7940189854887</v>
      </c>
      <c r="J90" s="22">
        <f t="shared" si="48"/>
        <v>1904.0116</v>
      </c>
      <c r="K90" s="28">
        <f t="shared" si="49"/>
        <v>0.22960582877900715</v>
      </c>
      <c r="L90" s="28">
        <f t="shared" si="50"/>
        <v>1.3771152888439713</v>
      </c>
      <c r="M90" s="28">
        <f t="shared" si="51"/>
        <v>-1.8902329411906751</v>
      </c>
      <c r="N90" s="28">
        <f t="shared" si="52"/>
        <v>-0.74272348112571063</v>
      </c>
      <c r="O90" s="28">
        <f t="shared" si="53"/>
        <v>451.53136735179692</v>
      </c>
      <c r="P90" s="28">
        <f t="shared" si="54"/>
        <v>243.84888440423231</v>
      </c>
      <c r="Q90" s="28">
        <f t="shared" si="55"/>
        <v>-5.1167720568548027</v>
      </c>
      <c r="R90" s="28">
        <f t="shared" si="56"/>
        <v>92.796543169370494</v>
      </c>
      <c r="S90" s="22">
        <f t="shared" si="57"/>
        <v>1601.0274542159596</v>
      </c>
      <c r="T90" s="22">
        <f t="shared" si="58"/>
        <v>1866.3084000000001</v>
      </c>
      <c r="U90" s="28">
        <f t="shared" si="59"/>
        <v>0.19398744693523723</v>
      </c>
      <c r="V90" s="28">
        <f t="shared" si="60"/>
        <v>1.3414969070002014</v>
      </c>
      <c r="W90" s="28">
        <f t="shared" si="61"/>
        <v>-1.8546145593469048</v>
      </c>
      <c r="X90" s="28">
        <f t="shared" si="62"/>
        <v>-0.70710509928194054</v>
      </c>
      <c r="Y90" s="28">
        <f t="shared" si="63"/>
        <v>467.08640738264126</v>
      </c>
      <c r="Z90" s="28">
        <f t="shared" si="64"/>
        <v>256.64084096598236</v>
      </c>
      <c r="AA90" s="28">
        <f t="shared" si="65"/>
        <v>-5.6136402608873901</v>
      </c>
      <c r="AB90" s="28">
        <f t="shared" si="66"/>
        <v>96.1696399492578</v>
      </c>
      <c r="AC90" s="22">
        <f t="shared" si="67"/>
        <v>1584.3655326702897</v>
      </c>
      <c r="AD90" s="43">
        <f t="shared" si="68"/>
        <v>0.44192327297603073</v>
      </c>
      <c r="AE90" s="22">
        <f t="shared" si="69"/>
        <v>833.09607728349408</v>
      </c>
      <c r="AF90" s="22">
        <f t="shared" si="70"/>
        <v>759.69794170199464</v>
      </c>
      <c r="AG90" s="30">
        <f t="shared" si="71"/>
        <v>0.52304068658804026</v>
      </c>
    </row>
    <row r="91" spans="1:33" x14ac:dyDescent="0.2">
      <c r="A91" s="35">
        <f>P2_TaskV_Valuation!A91</f>
        <v>46036</v>
      </c>
      <c r="B91" s="36">
        <f>P2_TaskV_Valuation!B91</f>
        <v>1880.21</v>
      </c>
      <c r="C91" s="45">
        <f>P2_TaskV_Valuation!N91</f>
        <v>2.0185188500520961E-2</v>
      </c>
      <c r="D91" s="37">
        <f>P2_TaskV_Valuation!C91</f>
        <v>0.45600000000000002</v>
      </c>
      <c r="E91" s="46">
        <f>P2_TaskV_Valuation!D91</f>
        <v>1.4246575342465753</v>
      </c>
      <c r="F91" s="47">
        <f>P2_TaskV_Valuation!O91</f>
        <v>1.4185188500520961E-2</v>
      </c>
      <c r="G91" s="47">
        <f>P2_TaskV_Valuation!P91</f>
        <v>0.54427712522307592</v>
      </c>
      <c r="H91" s="47">
        <f>P2_TaskV_Valuation!Q91</f>
        <v>-0.43178098789761771</v>
      </c>
      <c r="I91" s="36">
        <f>P2_TaskV_Valuation!AB91</f>
        <v>1609.7806390622975</v>
      </c>
      <c r="J91" s="22">
        <f t="shared" si="48"/>
        <v>1899.0121000000001</v>
      </c>
      <c r="K91" s="28">
        <f t="shared" si="49"/>
        <v>0.21407192736474251</v>
      </c>
      <c r="L91" s="28">
        <f t="shared" si="50"/>
        <v>1.397948644811611</v>
      </c>
      <c r="M91" s="28">
        <f t="shared" si="51"/>
        <v>-1.9632881414501178</v>
      </c>
      <c r="N91" s="28">
        <f t="shared" si="52"/>
        <v>-0.77941142400324948</v>
      </c>
      <c r="O91" s="28">
        <f t="shared" si="53"/>
        <v>441.22821428509258</v>
      </c>
      <c r="P91" s="28">
        <f t="shared" si="54"/>
        <v>229.50663891851377</v>
      </c>
      <c r="Q91" s="28">
        <f t="shared" si="55"/>
        <v>-4.1154484227983659</v>
      </c>
      <c r="R91" s="28">
        <f t="shared" si="56"/>
        <v>91.637730413651894</v>
      </c>
      <c r="S91" s="22">
        <f t="shared" si="57"/>
        <v>1618.0453141067344</v>
      </c>
      <c r="T91" s="22">
        <f t="shared" si="58"/>
        <v>1861.4078999999999</v>
      </c>
      <c r="U91" s="28">
        <f t="shared" si="59"/>
        <v>0.17732471573340255</v>
      </c>
      <c r="V91" s="28">
        <f t="shared" si="60"/>
        <v>1.3612014331802711</v>
      </c>
      <c r="W91" s="28">
        <f t="shared" si="61"/>
        <v>-1.9265409298187781</v>
      </c>
      <c r="X91" s="28">
        <f t="shared" si="62"/>
        <v>-0.74266421237190938</v>
      </c>
      <c r="Y91" s="28">
        <f t="shared" si="63"/>
        <v>456.97716140291516</v>
      </c>
      <c r="Z91" s="28">
        <f t="shared" si="64"/>
        <v>242.18003108752663</v>
      </c>
      <c r="AA91" s="28">
        <f t="shared" si="65"/>
        <v>-4.538842730974558</v>
      </c>
      <c r="AB91" s="28">
        <f t="shared" si="66"/>
        <v>95.275351132704714</v>
      </c>
      <c r="AC91" s="22">
        <f t="shared" si="67"/>
        <v>1601.3109069104923</v>
      </c>
      <c r="AD91" s="43">
        <f t="shared" si="68"/>
        <v>0.44501431213114617</v>
      </c>
      <c r="AE91" s="22">
        <f t="shared" si="69"/>
        <v>836.7203598121024</v>
      </c>
      <c r="AF91" s="22">
        <f t="shared" si="70"/>
        <v>773.06027925019509</v>
      </c>
      <c r="AG91" s="30">
        <f t="shared" si="71"/>
        <v>0.5197729053938025</v>
      </c>
    </row>
    <row r="92" spans="1:33" x14ac:dyDescent="0.2">
      <c r="A92" s="35">
        <f>P2_TaskV_Valuation!A92</f>
        <v>46037</v>
      </c>
      <c r="B92" s="36">
        <f>P2_TaskV_Valuation!B92</f>
        <v>1894.56</v>
      </c>
      <c r="C92" s="45">
        <f>P2_TaskV_Valuation!N92</f>
        <v>2.0260047172542917E-2</v>
      </c>
      <c r="D92" s="37">
        <f>P2_TaskV_Valuation!C92</f>
        <v>0.443</v>
      </c>
      <c r="E92" s="46">
        <f>P2_TaskV_Valuation!D92</f>
        <v>1.4219178082191781</v>
      </c>
      <c r="F92" s="47">
        <f>P2_TaskV_Valuation!O92</f>
        <v>1.4260047172542917E-2</v>
      </c>
      <c r="G92" s="47">
        <f>P2_TaskV_Valuation!P92</f>
        <v>0.52825178461147249</v>
      </c>
      <c r="H92" s="47">
        <f>P2_TaskV_Valuation!Q92</f>
        <v>-0.42733696899070606</v>
      </c>
      <c r="I92" s="36">
        <f>P2_TaskV_Valuation!AB92</f>
        <v>1633.9655089531493</v>
      </c>
      <c r="J92" s="22">
        <f t="shared" si="48"/>
        <v>1913.5056</v>
      </c>
      <c r="K92" s="28">
        <f t="shared" si="49"/>
        <v>0.21881868505571925</v>
      </c>
      <c r="L92" s="28">
        <f t="shared" si="50"/>
        <v>1.4386101465543979</v>
      </c>
      <c r="M92" s="28">
        <f t="shared" si="51"/>
        <v>-2.0533810718297278</v>
      </c>
      <c r="N92" s="28">
        <f t="shared" si="52"/>
        <v>-0.83358961033104917</v>
      </c>
      <c r="O92" s="28">
        <f t="shared" si="53"/>
        <v>423.39518525769608</v>
      </c>
      <c r="P92" s="28">
        <f t="shared" si="54"/>
        <v>209.7944520232339</v>
      </c>
      <c r="Q92" s="28">
        <f t="shared" si="55"/>
        <v>-3.1423799862497077</v>
      </c>
      <c r="R92" s="28">
        <f t="shared" si="56"/>
        <v>88.15986913388096</v>
      </c>
      <c r="S92" s="22">
        <f t="shared" si="57"/>
        <v>1642.1090507062906</v>
      </c>
      <c r="T92" s="22">
        <f t="shared" si="58"/>
        <v>1875.6143999999999</v>
      </c>
      <c r="U92" s="28">
        <f t="shared" si="59"/>
        <v>0.18095668952762092</v>
      </c>
      <c r="V92" s="28">
        <f t="shared" si="60"/>
        <v>1.4007481510262996</v>
      </c>
      <c r="W92" s="28">
        <f t="shared" si="61"/>
        <v>-2.0155190763016297</v>
      </c>
      <c r="X92" s="28">
        <f t="shared" si="62"/>
        <v>-0.79572761480295062</v>
      </c>
      <c r="Y92" s="28">
        <f t="shared" si="63"/>
        <v>439.20300434803141</v>
      </c>
      <c r="Z92" s="28">
        <f t="shared" si="64"/>
        <v>222.08993519350307</v>
      </c>
      <c r="AA92" s="28">
        <f t="shared" si="65"/>
        <v>-3.4863290524275712</v>
      </c>
      <c r="AB92" s="28">
        <f t="shared" si="66"/>
        <v>92.022072818351006</v>
      </c>
      <c r="AC92" s="22">
        <f t="shared" si="67"/>
        <v>1625.6074147853733</v>
      </c>
      <c r="AD92" s="43">
        <f t="shared" si="68"/>
        <v>0.43550048351378029</v>
      </c>
      <c r="AE92" s="22">
        <f t="shared" si="69"/>
        <v>825.08179604586758</v>
      </c>
      <c r="AF92" s="22">
        <f t="shared" si="70"/>
        <v>808.88371290728173</v>
      </c>
      <c r="AG92" s="30">
        <f t="shared" si="71"/>
        <v>0.5049566784151287</v>
      </c>
    </row>
    <row r="93" spans="1:33" x14ac:dyDescent="0.2">
      <c r="A93" s="35">
        <f>P2_TaskV_Valuation!A93</f>
        <v>46038</v>
      </c>
      <c r="B93" s="36">
        <f>P2_TaskV_Valuation!B93</f>
        <v>1883.18</v>
      </c>
      <c r="C93" s="45">
        <f>P2_TaskV_Valuation!N93</f>
        <v>2.0393117153012719E-2</v>
      </c>
      <c r="D93" s="37">
        <f>P2_TaskV_Valuation!C93</f>
        <v>0.43</v>
      </c>
      <c r="E93" s="46">
        <f>P2_TaskV_Valuation!D93</f>
        <v>1.4191780821917808</v>
      </c>
      <c r="F93" s="47">
        <f>P2_TaskV_Valuation!O93</f>
        <v>1.4393117153012719E-2</v>
      </c>
      <c r="G93" s="47">
        <f>P2_TaskV_Valuation!P93</f>
        <v>0.51225582221899668</v>
      </c>
      <c r="H93" s="47">
        <f>P2_TaskV_Valuation!Q93</f>
        <v>-0.42215728959971482</v>
      </c>
      <c r="I93" s="36">
        <f>P2_TaskV_Valuation!AB93</f>
        <v>1647.0183095690795</v>
      </c>
      <c r="J93" s="22">
        <f t="shared" si="48"/>
        <v>1902.0118</v>
      </c>
      <c r="K93" s="28">
        <f t="shared" si="49"/>
        <v>0.19793703309644234</v>
      </c>
      <c r="L93" s="28">
        <f t="shared" si="50"/>
        <v>1.4558183268595448</v>
      </c>
      <c r="M93" s="28">
        <f t="shared" si="51"/>
        <v>-2.1216930351639438</v>
      </c>
      <c r="N93" s="28">
        <f t="shared" si="52"/>
        <v>-0.86381174140084149</v>
      </c>
      <c r="O93" s="28">
        <f t="shared" si="53"/>
        <v>416.1668785899335</v>
      </c>
      <c r="P93" s="28">
        <f t="shared" si="54"/>
        <v>198.39611215509038</v>
      </c>
      <c r="Q93" s="28">
        <f t="shared" si="55"/>
        <v>-2.5302969542779117</v>
      </c>
      <c r="R93" s="28">
        <f t="shared" si="56"/>
        <v>86.823537455381739</v>
      </c>
      <c r="S93" s="22">
        <f t="shared" si="57"/>
        <v>1655.1967096339674</v>
      </c>
      <c r="T93" s="22">
        <f t="shared" si="58"/>
        <v>1864.3482000000001</v>
      </c>
      <c r="U93" s="28">
        <f t="shared" si="59"/>
        <v>0.15889273952447239</v>
      </c>
      <c r="V93" s="28">
        <f t="shared" si="60"/>
        <v>1.4167740332875745</v>
      </c>
      <c r="W93" s="28">
        <f t="shared" si="61"/>
        <v>-2.0826487415919739</v>
      </c>
      <c r="X93" s="28">
        <f t="shared" si="62"/>
        <v>-0.82476744782887113</v>
      </c>
      <c r="Y93" s="28">
        <f t="shared" si="63"/>
        <v>432.19419111680293</v>
      </c>
      <c r="Z93" s="28">
        <f t="shared" si="64"/>
        <v>210.59429795825537</v>
      </c>
      <c r="AA93" s="28">
        <f t="shared" si="65"/>
        <v>-2.8230936633924699</v>
      </c>
      <c r="AB93" s="28">
        <f t="shared" si="66"/>
        <v>90.914305617826983</v>
      </c>
      <c r="AC93" s="22">
        <f t="shared" si="67"/>
        <v>1638.6149589592428</v>
      </c>
      <c r="AD93" s="43">
        <f t="shared" si="68"/>
        <v>0.44025931336156438</v>
      </c>
      <c r="AE93" s="22">
        <f t="shared" si="69"/>
        <v>829.08753373623085</v>
      </c>
      <c r="AF93" s="22">
        <f t="shared" si="70"/>
        <v>817.93077583284867</v>
      </c>
      <c r="AG93" s="30">
        <f t="shared" si="71"/>
        <v>0.50338695624649776</v>
      </c>
    </row>
    <row r="94" spans="1:33" x14ac:dyDescent="0.2">
      <c r="A94" s="35">
        <f>P2_TaskV_Valuation!A94</f>
        <v>46041</v>
      </c>
      <c r="B94" s="36">
        <f>P2_TaskV_Valuation!B94</f>
        <v>1901</v>
      </c>
      <c r="C94" s="45">
        <f>P2_TaskV_Valuation!N94</f>
        <v>2.0175935847998192E-2</v>
      </c>
      <c r="D94" s="37">
        <f>P2_TaskV_Valuation!C94</f>
        <v>0.41799999999999998</v>
      </c>
      <c r="E94" s="46">
        <f>P2_TaskV_Valuation!D94</f>
        <v>1.4109589041095891</v>
      </c>
      <c r="F94" s="47">
        <f>P2_TaskV_Valuation!O94</f>
        <v>1.4175935847998191E-2</v>
      </c>
      <c r="G94" s="47">
        <f>P2_TaskV_Valuation!P94</f>
        <v>0.49651624702686603</v>
      </c>
      <c r="H94" s="47">
        <f>P2_TaskV_Valuation!Q94</f>
        <v>-0.41886669348230243</v>
      </c>
      <c r="I94" s="36">
        <f>P2_TaskV_Valuation!AB94</f>
        <v>1673.326300566692</v>
      </c>
      <c r="J94" s="22">
        <f t="shared" si="48"/>
        <v>1920.01</v>
      </c>
      <c r="K94" s="28">
        <f t="shared" si="49"/>
        <v>0.206335782771702</v>
      </c>
      <c r="L94" s="28">
        <f t="shared" si="50"/>
        <v>1.5040919392900762</v>
      </c>
      <c r="M94" s="28">
        <f t="shared" si="51"/>
        <v>-2.2247638390594897</v>
      </c>
      <c r="N94" s="28">
        <f t="shared" si="52"/>
        <v>-0.92700768254111499</v>
      </c>
      <c r="O94" s="28">
        <f t="shared" si="53"/>
        <v>397.54593669494147</v>
      </c>
      <c r="P94" s="28">
        <f t="shared" si="54"/>
        <v>178.67178095502305</v>
      </c>
      <c r="Q94" s="28">
        <f t="shared" si="55"/>
        <v>-1.8388218583864671</v>
      </c>
      <c r="R94" s="28">
        <f t="shared" si="56"/>
        <v>82.051281635119125</v>
      </c>
      <c r="S94" s="22">
        <f t="shared" si="57"/>
        <v>1681.3060411561107</v>
      </c>
      <c r="T94" s="22">
        <f t="shared" si="58"/>
        <v>1881.99</v>
      </c>
      <c r="U94" s="28">
        <f t="shared" si="59"/>
        <v>0.16605378429444517</v>
      </c>
      <c r="V94" s="28">
        <f t="shared" si="60"/>
        <v>1.4638099408128191</v>
      </c>
      <c r="W94" s="28">
        <f t="shared" si="61"/>
        <v>-2.1844818405822326</v>
      </c>
      <c r="X94" s="28">
        <f t="shared" si="62"/>
        <v>-0.8867256840638581</v>
      </c>
      <c r="Y94" s="28">
        <f t="shared" si="63"/>
        <v>413.61061781415958</v>
      </c>
      <c r="Z94" s="28">
        <f t="shared" si="64"/>
        <v>190.38274728962088</v>
      </c>
      <c r="AA94" s="28">
        <f t="shared" si="65"/>
        <v>-2.0660990226668812</v>
      </c>
      <c r="AB94" s="28">
        <f t="shared" si="66"/>
        <v>86.307045474618008</v>
      </c>
      <c r="AC94" s="22">
        <f t="shared" si="67"/>
        <v>1665.1120338177336</v>
      </c>
      <c r="AD94" s="43">
        <f t="shared" si="68"/>
        <v>0.42593391210881387</v>
      </c>
      <c r="AE94" s="22">
        <f t="shared" si="69"/>
        <v>809.70036691885514</v>
      </c>
      <c r="AF94" s="22">
        <f t="shared" si="70"/>
        <v>863.62593364783686</v>
      </c>
      <c r="AG94" s="30">
        <f t="shared" si="71"/>
        <v>0.48388671512820924</v>
      </c>
    </row>
    <row r="95" spans="1:33" x14ac:dyDescent="0.2">
      <c r="A95" s="35">
        <f>P2_TaskV_Valuation!A95</f>
        <v>46042</v>
      </c>
      <c r="B95" s="36">
        <f>P2_TaskV_Valuation!B95</f>
        <v>1890.11</v>
      </c>
      <c r="C95" s="45">
        <f>P2_TaskV_Valuation!N95</f>
        <v>2.0067822571947006E-2</v>
      </c>
      <c r="D95" s="37">
        <f>P2_TaskV_Valuation!C95</f>
        <v>0.40600000000000003</v>
      </c>
      <c r="E95" s="46">
        <f>P2_TaskV_Valuation!D95</f>
        <v>1.4082191780821918</v>
      </c>
      <c r="F95" s="47">
        <f>P2_TaskV_Valuation!O95</f>
        <v>1.4067822571947006E-2</v>
      </c>
      <c r="G95" s="47">
        <f>P2_TaskV_Valuation!P95</f>
        <v>0.48179374885769971</v>
      </c>
      <c r="H95" s="47">
        <f>P2_TaskV_Valuation!Q95</f>
        <v>-0.41465564214160128</v>
      </c>
      <c r="I95" s="36">
        <f>P2_TaskV_Valuation!AB95</f>
        <v>1686.0222157790156</v>
      </c>
      <c r="J95" s="22">
        <f t="shared" si="48"/>
        <v>1909.0110999999999</v>
      </c>
      <c r="K95" s="28">
        <f t="shared" si="49"/>
        <v>0.18537260954497964</v>
      </c>
      <c r="L95" s="28">
        <f t="shared" si="50"/>
        <v>1.5227851806259456</v>
      </c>
      <c r="M95" s="28">
        <f t="shared" si="51"/>
        <v>-2.2961672466163097</v>
      </c>
      <c r="N95" s="28">
        <f t="shared" si="52"/>
        <v>-0.95875467553534344</v>
      </c>
      <c r="O95" s="28">
        <f t="shared" si="53"/>
        <v>391.44924957225044</v>
      </c>
      <c r="P95" s="28">
        <f t="shared" si="54"/>
        <v>168.60806864505915</v>
      </c>
      <c r="Q95" s="28">
        <f t="shared" si="55"/>
        <v>-1.4547065151271266</v>
      </c>
      <c r="R95" s="28">
        <f t="shared" si="56"/>
        <v>80.20115956178131</v>
      </c>
      <c r="S95" s="22">
        <f t="shared" si="57"/>
        <v>1694.0074314564024</v>
      </c>
      <c r="T95" s="22">
        <f t="shared" si="58"/>
        <v>1871.2088999999999</v>
      </c>
      <c r="U95" s="28">
        <f t="shared" si="59"/>
        <v>0.14385968673498106</v>
      </c>
      <c r="V95" s="28">
        <f t="shared" si="60"/>
        <v>1.481272257815947</v>
      </c>
      <c r="W95" s="28">
        <f t="shared" si="61"/>
        <v>-2.2546543238063106</v>
      </c>
      <c r="X95" s="28">
        <f t="shared" si="62"/>
        <v>-0.91724175272534525</v>
      </c>
      <c r="Y95" s="28">
        <f t="shared" si="63"/>
        <v>407.73987612678809</v>
      </c>
      <c r="Z95" s="28">
        <f t="shared" si="64"/>
        <v>180.19173584502295</v>
      </c>
      <c r="AA95" s="28">
        <f t="shared" si="65"/>
        <v>-1.6446280750099689</v>
      </c>
      <c r="AB95" s="28">
        <f t="shared" si="66"/>
        <v>84.643101709243098</v>
      </c>
      <c r="AC95" s="22">
        <f t="shared" si="67"/>
        <v>1677.791900549094</v>
      </c>
      <c r="AD95" s="43">
        <f t="shared" si="68"/>
        <v>0.42895733336441921</v>
      </c>
      <c r="AE95" s="22">
        <f t="shared" si="69"/>
        <v>810.77654536542241</v>
      </c>
      <c r="AF95" s="22">
        <f t="shared" si="70"/>
        <v>875.24567041359319</v>
      </c>
      <c r="AG95" s="30">
        <f t="shared" si="71"/>
        <v>0.48088129431367449</v>
      </c>
    </row>
    <row r="96" spans="1:33" x14ac:dyDescent="0.2">
      <c r="A96" s="35">
        <f>P2_TaskV_Valuation!A96</f>
        <v>46043</v>
      </c>
      <c r="B96" s="36">
        <f>P2_TaskV_Valuation!B96</f>
        <v>1835.16</v>
      </c>
      <c r="C96" s="45">
        <f>P2_TaskV_Valuation!N96</f>
        <v>2.0035222062986257E-2</v>
      </c>
      <c r="D96" s="37">
        <f>P2_TaskV_Valuation!C96</f>
        <v>0.41</v>
      </c>
      <c r="E96" s="46">
        <f>P2_TaskV_Valuation!D96</f>
        <v>1.4054794520547946</v>
      </c>
      <c r="F96" s="47">
        <f>P2_TaskV_Valuation!O96</f>
        <v>1.4035222062986257E-2</v>
      </c>
      <c r="G96" s="47">
        <f>P2_TaskV_Valuation!P96</f>
        <v>0.48606696646697867</v>
      </c>
      <c r="H96" s="47">
        <f>P2_TaskV_Valuation!Q96</f>
        <v>-0.416506709916798</v>
      </c>
      <c r="I96" s="36">
        <f>P2_TaskV_Valuation!AB96</f>
        <v>1656.4329531288558</v>
      </c>
      <c r="J96" s="22">
        <f t="shared" si="48"/>
        <v>1853.5116</v>
      </c>
      <c r="K96" s="28">
        <f t="shared" si="49"/>
        <v>0.12712566350273599</v>
      </c>
      <c r="L96" s="28">
        <f t="shared" si="50"/>
        <v>1.4527804823728188</v>
      </c>
      <c r="M96" s="28">
        <f t="shared" si="51"/>
        <v>-2.2112016743137444</v>
      </c>
      <c r="N96" s="28">
        <f t="shared" si="52"/>
        <v>-0.8855468554436613</v>
      </c>
      <c r="O96" s="28">
        <f t="shared" si="53"/>
        <v>418.79913240864789</v>
      </c>
      <c r="P96" s="28">
        <f t="shared" si="54"/>
        <v>189.99023470929106</v>
      </c>
      <c r="Q96" s="28">
        <f t="shared" si="55"/>
        <v>-1.8816975690687325</v>
      </c>
      <c r="R96" s="28">
        <f t="shared" si="56"/>
        <v>87.676903390103064</v>
      </c>
      <c r="S96" s="22">
        <f t="shared" si="57"/>
        <v>1664.9185223217382</v>
      </c>
      <c r="T96" s="22">
        <f t="shared" si="58"/>
        <v>1816.8084000000001</v>
      </c>
      <c r="U96" s="28">
        <f t="shared" si="59"/>
        <v>8.5977698126594393E-2</v>
      </c>
      <c r="V96" s="28">
        <f t="shared" si="60"/>
        <v>1.4116325169966775</v>
      </c>
      <c r="W96" s="28">
        <f t="shared" si="61"/>
        <v>-2.1700537089376031</v>
      </c>
      <c r="X96" s="28">
        <f t="shared" si="62"/>
        <v>-0.84439889006751978</v>
      </c>
      <c r="Y96" s="28">
        <f t="shared" si="63"/>
        <v>435.45159009230485</v>
      </c>
      <c r="Z96" s="28">
        <f t="shared" si="64"/>
        <v>202.44885356899232</v>
      </c>
      <c r="AA96" s="28">
        <f t="shared" si="65"/>
        <v>-2.1186530674464823</v>
      </c>
      <c r="AB96" s="28">
        <f t="shared" si="66"/>
        <v>92.197748390445298</v>
      </c>
      <c r="AC96" s="22">
        <f t="shared" si="67"/>
        <v>1647.702102963317</v>
      </c>
      <c r="AD96" s="43">
        <f t="shared" si="68"/>
        <v>0.46907134414495905</v>
      </c>
      <c r="AE96" s="22">
        <f t="shared" si="69"/>
        <v>860.82096792106313</v>
      </c>
      <c r="AF96" s="22">
        <f t="shared" si="70"/>
        <v>795.61198520779271</v>
      </c>
      <c r="AG96" s="30">
        <f t="shared" si="71"/>
        <v>0.5196835563401756</v>
      </c>
    </row>
    <row r="97" spans="1:33" x14ac:dyDescent="0.2">
      <c r="A97" s="35">
        <f>P2_TaskV_Valuation!A97</f>
        <v>46044</v>
      </c>
      <c r="B97" s="36">
        <f>P2_TaskV_Valuation!B97</f>
        <v>1772.78</v>
      </c>
      <c r="C97" s="45">
        <f>P2_TaskV_Valuation!N97</f>
        <v>2.0345038385367286E-2</v>
      </c>
      <c r="D97" s="37">
        <f>P2_TaskV_Valuation!C97</f>
        <v>0.42</v>
      </c>
      <c r="E97" s="46">
        <f>P2_TaskV_Valuation!D97</f>
        <v>1.4027397260273973</v>
      </c>
      <c r="F97" s="47">
        <f>P2_TaskV_Valuation!O97</f>
        <v>1.4345038385367286E-2</v>
      </c>
      <c r="G97" s="47">
        <f>P2_TaskV_Valuation!P97</f>
        <v>0.49743671725279076</v>
      </c>
      <c r="H97" s="47">
        <f>P2_TaskV_Valuation!Q97</f>
        <v>-0.41867892071787255</v>
      </c>
      <c r="I97" s="36">
        <f>P2_TaskV_Valuation!AB97</f>
        <v>1611.9856414574881</v>
      </c>
      <c r="J97" s="22">
        <f t="shared" si="48"/>
        <v>1790.5078000000001</v>
      </c>
      <c r="K97" s="28">
        <f t="shared" si="49"/>
        <v>6.6734288223549959E-2</v>
      </c>
      <c r="L97" s="28">
        <f t="shared" si="50"/>
        <v>1.3620890419882576</v>
      </c>
      <c r="M97" s="28">
        <f t="shared" si="51"/>
        <v>-2.0791028970570635</v>
      </c>
      <c r="N97" s="28">
        <f t="shared" si="52"/>
        <v>-0.78374814329235609</v>
      </c>
      <c r="O97" s="28">
        <f t="shared" si="53"/>
        <v>455.28554736776027</v>
      </c>
      <c r="P97" s="28">
        <f t="shared" si="54"/>
        <v>222.6031860748509</v>
      </c>
      <c r="Q97" s="28">
        <f t="shared" si="55"/>
        <v>-2.7872466423445061</v>
      </c>
      <c r="R97" s="28">
        <f t="shared" si="56"/>
        <v>97.323765567432645</v>
      </c>
      <c r="S97" s="22">
        <f t="shared" si="57"/>
        <v>1621.0149843495453</v>
      </c>
      <c r="T97" s="22">
        <f t="shared" si="58"/>
        <v>1755.0521999999999</v>
      </c>
      <c r="U97" s="28">
        <f t="shared" si="59"/>
        <v>2.652682863526723E-2</v>
      </c>
      <c r="V97" s="28">
        <f t="shared" si="60"/>
        <v>1.3218815823999748</v>
      </c>
      <c r="W97" s="28">
        <f t="shared" si="61"/>
        <v>-2.0388954374687813</v>
      </c>
      <c r="X97" s="28">
        <f t="shared" si="62"/>
        <v>-0.74354068370407345</v>
      </c>
      <c r="Y97" s="28">
        <f t="shared" si="63"/>
        <v>472.21006158991861</v>
      </c>
      <c r="Z97" s="28">
        <f t="shared" si="64"/>
        <v>236.12759970703107</v>
      </c>
      <c r="AA97" s="28">
        <f t="shared" si="65"/>
        <v>-3.1156507860580334</v>
      </c>
      <c r="AB97" s="28">
        <f t="shared" si="66"/>
        <v>101.76741022028165</v>
      </c>
      <c r="AC97" s="22">
        <f t="shared" si="67"/>
        <v>1602.7185219208027</v>
      </c>
      <c r="AD97" s="43">
        <f t="shared" si="68"/>
        <v>0.51603871965902837</v>
      </c>
      <c r="AE97" s="22">
        <f t="shared" si="69"/>
        <v>914.82312143713227</v>
      </c>
      <c r="AF97" s="22">
        <f t="shared" si="70"/>
        <v>697.16252002035583</v>
      </c>
      <c r="AG97" s="30">
        <f t="shared" si="71"/>
        <v>0.56751319485078577</v>
      </c>
    </row>
    <row r="98" spans="1:33" x14ac:dyDescent="0.2">
      <c r="A98" s="35">
        <f>P2_TaskV_Valuation!A98</f>
        <v>46045</v>
      </c>
      <c r="B98" s="36">
        <f>P2_TaskV_Valuation!B98</f>
        <v>1811.89</v>
      </c>
      <c r="C98" s="45">
        <f>P2_TaskV_Valuation!N98</f>
        <v>2.0488260639220116E-2</v>
      </c>
      <c r="D98" s="37">
        <f>P2_TaskV_Valuation!C98</f>
        <v>0.41599999999999998</v>
      </c>
      <c r="E98" s="46">
        <f>P2_TaskV_Valuation!D98</f>
        <v>1.4</v>
      </c>
      <c r="F98" s="47">
        <f>P2_TaskV_Valuation!O98</f>
        <v>1.4488260639220115E-2</v>
      </c>
      <c r="G98" s="47">
        <f>P2_TaskV_Valuation!P98</f>
        <v>0.49221783795388802</v>
      </c>
      <c r="H98" s="47">
        <f>P2_TaskV_Valuation!Q98</f>
        <v>-0.41627992881367815</v>
      </c>
      <c r="I98" s="36">
        <f>P2_TaskV_Valuation!AB98</f>
        <v>1637.6104759093107</v>
      </c>
      <c r="J98" s="22">
        <f t="shared" si="48"/>
        <v>1830.0089</v>
      </c>
      <c r="K98" s="28">
        <f t="shared" si="49"/>
        <v>0.10685597007837741</v>
      </c>
      <c r="L98" s="28">
        <f t="shared" si="50"/>
        <v>1.4159450901904325</v>
      </c>
      <c r="M98" s="28">
        <f t="shared" si="51"/>
        <v>-2.1503993474832459</v>
      </c>
      <c r="N98" s="28">
        <f t="shared" si="52"/>
        <v>-0.84131022737119054</v>
      </c>
      <c r="O98" s="28">
        <f t="shared" si="53"/>
        <v>433.13286628491676</v>
      </c>
      <c r="P98" s="28">
        <f t="shared" si="54"/>
        <v>203.30762180015932</v>
      </c>
      <c r="Q98" s="28">
        <f t="shared" si="55"/>
        <v>-2.2585317178680722</v>
      </c>
      <c r="R98" s="28">
        <f t="shared" si="56"/>
        <v>91.578328636442961</v>
      </c>
      <c r="S98" s="22">
        <f t="shared" si="57"/>
        <v>1646.3033246001155</v>
      </c>
      <c r="T98" s="22">
        <f t="shared" si="58"/>
        <v>1793.7711000000002</v>
      </c>
      <c r="U98" s="28">
        <f t="shared" si="59"/>
        <v>6.6222199490519995E-2</v>
      </c>
      <c r="V98" s="28">
        <f t="shared" si="60"/>
        <v>1.3753113196025752</v>
      </c>
      <c r="W98" s="28">
        <f t="shared" si="61"/>
        <v>-2.1097655768953887</v>
      </c>
      <c r="X98" s="28">
        <f t="shared" si="62"/>
        <v>-0.80067645678333332</v>
      </c>
      <c r="Y98" s="28">
        <f t="shared" si="63"/>
        <v>449.86025714193931</v>
      </c>
      <c r="Z98" s="28">
        <f t="shared" si="64"/>
        <v>216.18357002318967</v>
      </c>
      <c r="AA98" s="28">
        <f t="shared" si="65"/>
        <v>-2.5339764687408728</v>
      </c>
      <c r="AB98" s="28">
        <f t="shared" si="66"/>
        <v>96.053938189161016</v>
      </c>
      <c r="AC98" s="22">
        <f t="shared" si="67"/>
        <v>1628.6763220734942</v>
      </c>
      <c r="AD98" s="43">
        <f t="shared" si="68"/>
        <v>0.48642584612259171</v>
      </c>
      <c r="AE98" s="22">
        <f t="shared" si="69"/>
        <v>881.35012633106271</v>
      </c>
      <c r="AF98" s="22">
        <f t="shared" si="70"/>
        <v>756.260349578248</v>
      </c>
      <c r="AG98" s="30">
        <f t="shared" si="71"/>
        <v>0.538192774958696</v>
      </c>
    </row>
    <row r="99" spans="1:33" x14ac:dyDescent="0.2">
      <c r="A99" s="35">
        <f>P2_TaskV_Valuation!A99</f>
        <v>46048</v>
      </c>
      <c r="B99" s="36">
        <f>P2_TaskV_Valuation!B99</f>
        <v>1773.27</v>
      </c>
      <c r="C99" s="45">
        <f>P2_TaskV_Valuation!N99</f>
        <v>2.036052932561979E-2</v>
      </c>
      <c r="D99" s="37">
        <f>P2_TaskV_Valuation!C99</f>
        <v>0.41199999999999998</v>
      </c>
      <c r="E99" s="46">
        <f>P2_TaskV_Valuation!D99</f>
        <v>1.3917808219178083</v>
      </c>
      <c r="F99" s="47">
        <f>P2_TaskV_Valuation!O99</f>
        <v>1.436052932561979E-2</v>
      </c>
      <c r="G99" s="47">
        <f>P2_TaskV_Valuation!P99</f>
        <v>0.48605189417964045</v>
      </c>
      <c r="H99" s="47">
        <f>P2_TaskV_Valuation!Q99</f>
        <v>-0.4153988987792217</v>
      </c>
      <c r="I99" s="36">
        <f>P2_TaskV_Valuation!AB99</f>
        <v>1625.9061819369213</v>
      </c>
      <c r="J99" s="22">
        <f t="shared" si="48"/>
        <v>1791.0027</v>
      </c>
      <c r="K99" s="28">
        <f t="shared" si="49"/>
        <v>5.7068764905838926E-2</v>
      </c>
      <c r="L99" s="28">
        <f t="shared" si="50"/>
        <v>1.3827646918357415</v>
      </c>
      <c r="M99" s="28">
        <f t="shared" si="51"/>
        <v>-2.140167673589918</v>
      </c>
      <c r="N99" s="28">
        <f t="shared" si="52"/>
        <v>-0.81447174666001554</v>
      </c>
      <c r="O99" s="28">
        <f t="shared" si="53"/>
        <v>447.20762310589703</v>
      </c>
      <c r="P99" s="28">
        <f t="shared" si="54"/>
        <v>211.46653009797078</v>
      </c>
      <c r="Q99" s="28">
        <f t="shared" si="55"/>
        <v>-2.3044932392086714</v>
      </c>
      <c r="R99" s="28">
        <f t="shared" si="56"/>
        <v>95.4231057984355</v>
      </c>
      <c r="S99" s="22">
        <f t="shared" si="57"/>
        <v>1634.92655867912</v>
      </c>
      <c r="T99" s="22">
        <f t="shared" si="58"/>
        <v>1755.5373</v>
      </c>
      <c r="U99" s="28">
        <f t="shared" si="59"/>
        <v>1.5919523546689962E-2</v>
      </c>
      <c r="V99" s="28">
        <f t="shared" si="60"/>
        <v>1.3416154504765927</v>
      </c>
      <c r="W99" s="28">
        <f t="shared" si="61"/>
        <v>-2.0990184322307694</v>
      </c>
      <c r="X99" s="28">
        <f t="shared" si="62"/>
        <v>-0.77332250530086633</v>
      </c>
      <c r="Y99" s="28">
        <f t="shared" si="63"/>
        <v>464.27999868038103</v>
      </c>
      <c r="Z99" s="28">
        <f t="shared" si="64"/>
        <v>224.83885980874206</v>
      </c>
      <c r="AA99" s="28">
        <f t="shared" si="65"/>
        <v>-2.5884022289833268</v>
      </c>
      <c r="AB99" s="28">
        <f t="shared" si="66"/>
        <v>100.05467430942161</v>
      </c>
      <c r="AC99" s="22">
        <f t="shared" si="67"/>
        <v>1616.638751467588</v>
      </c>
      <c r="AD99" s="43">
        <f t="shared" si="68"/>
        <v>0.51565207812493374</v>
      </c>
      <c r="AE99" s="22">
        <f t="shared" si="69"/>
        <v>914.39036057660121</v>
      </c>
      <c r="AF99" s="22">
        <f t="shared" si="70"/>
        <v>711.51582136032005</v>
      </c>
      <c r="AG99" s="30">
        <f t="shared" si="71"/>
        <v>0.56238814436839135</v>
      </c>
    </row>
    <row r="100" spans="1:33" x14ac:dyDescent="0.2">
      <c r="A100" s="35">
        <f>P2_TaskV_Valuation!A100</f>
        <v>46049</v>
      </c>
      <c r="B100" s="36">
        <f>P2_TaskV_Valuation!B100</f>
        <v>1831.69</v>
      </c>
      <c r="C100" s="45">
        <f>P2_TaskV_Valuation!N100</f>
        <v>2.030586523567994E-2</v>
      </c>
      <c r="D100" s="37">
        <f>P2_TaskV_Valuation!C100</f>
        <v>0.41899999999999998</v>
      </c>
      <c r="E100" s="46">
        <f>P2_TaskV_Valuation!D100</f>
        <v>1.3890410958904109</v>
      </c>
      <c r="F100" s="47">
        <f>P2_TaskV_Valuation!O100</f>
        <v>1.430586523567994E-2</v>
      </c>
      <c r="G100" s="47">
        <f>P2_TaskV_Valuation!P100</f>
        <v>0.49382329211532378</v>
      </c>
      <c r="H100" s="47">
        <f>P2_TaskV_Valuation!Q100</f>
        <v>-0.41851342134255365</v>
      </c>
      <c r="I100" s="36">
        <f>P2_TaskV_Valuation!AB100</f>
        <v>1645.6912851635677</v>
      </c>
      <c r="J100" s="22">
        <f t="shared" ref="J100:J131" si="72">B100*(1+dS)</f>
        <v>1850.0069000000001</v>
      </c>
      <c r="K100" s="28">
        <f t="shared" ref="K100:K131" si="73">LN(J100/Cap)/G100+(1+H100)*G100</f>
        <v>0.12928581116945445</v>
      </c>
      <c r="L100" s="28">
        <f t="shared" ref="L100:L131" si="74">LN(J100/Barrier)/G100+(1+H100)*G100</f>
        <v>1.4341189907272041</v>
      </c>
      <c r="M100" s="28">
        <f t="shared" ref="M100:M131" si="75">LN(Barrier^2/(J100*Cap))/G100+(1+H100)*G100</f>
        <v>-2.1646489370979607</v>
      </c>
      <c r="N100" s="28">
        <f t="shared" ref="N100:N131" si="76">LN(Barrier/J100)/G100+(1+H100)*G100</f>
        <v>-0.85981575754021133</v>
      </c>
      <c r="O100" s="28">
        <f t="shared" ref="O100:O131" si="77">-J100*EXP((F100-C100)*E100)*NORMSDIST(-K100)+Cap*EXP(-C100*E100)*NORMSDIST(-K100+G100)</f>
        <v>425.85578642137159</v>
      </c>
      <c r="P100" s="28">
        <f t="shared" ref="P100:P131" si="78">-J100*EXP((F100-C100)*E100)*NORMSDIST(-L100)+Cap*EXP(-C100*E100)*NORMSDIST(-L100+G100)</f>
        <v>198.40336857548346</v>
      </c>
      <c r="Q100" s="28">
        <f t="shared" ref="Q100:Q131" si="79">-J100*EXP((F100-C100)*E100)*(Barrier/J100)^(2*(H100+1))*NORMSDIST(M100)+Cap*EXP(-C100*E100)*(Barrier/J100)^(2*H100)*NORMSDIST(M100-G100)</f>
        <v>-2.1788079940571006</v>
      </c>
      <c r="R100" s="28">
        <f t="shared" ref="R100:R131" si="80">-J100*EXP((F100-C100)*E100)*(Barrier/J100)^(2*(H100+1))*NORMSDIST(N100)+Cap*EXP(-C100*E100)*(Barrier/J100)^(2*H100)*NORMSDIST(N100-G100)</f>
        <v>89.563175902013853</v>
      </c>
      <c r="S100" s="22">
        <f t="shared" ref="S100:S131" si="81">Cap*EXP(-C100*E100)-O100+IF(J100&lt;=Barrier,0,O100-P100+Q100-R100)</f>
        <v>1654.231418058089</v>
      </c>
      <c r="T100" s="22">
        <f t="shared" ref="T100:T131" si="82">B100*(1-dS)</f>
        <v>1813.3731</v>
      </c>
      <c r="U100" s="28">
        <f t="shared" ref="U100:U131" si="83">LN(T100/Cap)/G100+(1+H100)*G100</f>
        <v>8.8784143819995359E-2</v>
      </c>
      <c r="V100" s="28">
        <f t="shared" ref="V100:V131" si="84">LN(T100/Barrier)/G100+(1+H100)*G100</f>
        <v>1.3936173233777454</v>
      </c>
      <c r="W100" s="28">
        <f t="shared" ref="W100:W131" si="85">LN(Barrier^2/(T100*Cap))/G100+(1+H100)*G100</f>
        <v>-2.124147269748502</v>
      </c>
      <c r="X100" s="28">
        <f t="shared" ref="X100:X131" si="86">LN(Barrier/T100)/G100+(1+H100)*G100</f>
        <v>-0.81931409019075263</v>
      </c>
      <c r="Y100" s="28">
        <f t="shared" ref="Y100:Y131" si="87">-T100*EXP((F100-C100)*E100)*NORMSDIST(-U100)+Cap*EXP(-C100*E100)*NORMSDIST(-U100+G100)</f>
        <v>442.44262805544554</v>
      </c>
      <c r="Z100" s="28">
        <f t="shared" ref="Z100:Z131" si="88">-T100*EXP((F100-C100)*E100)*NORMSDIST(-V100)+Cap*EXP(-C100*E100)*NORMSDIST(-V100+G100)</f>
        <v>211.03598369619215</v>
      </c>
      <c r="AA100" s="28">
        <f t="shared" ref="AA100:AA131" si="89">-T100*EXP((F100-C100)*E100)*(Barrier/T100)^(2*(H100+1))*NORMSDIST(W100)+Cap*EXP(-C100*E100)*(Barrier/T100)^(2*H100)*NORMSDIST(W100-G100)</f>
        <v>-2.4446112337758752</v>
      </c>
      <c r="AB100" s="28">
        <f t="shared" ref="AB100:AB131" si="90">-T100*EXP((F100-C100)*E100)*(Barrier/T100)^(2*(H100+1))*NORMSDIST(X100)+Cap*EXP(-C100*E100)*(Barrier/T100)^(2*H100)*NORMSDIST(X100-G100)</f>
        <v>93.984637741026404</v>
      </c>
      <c r="AC100" s="22">
        <f t="shared" ref="AC100:AC131" si="91">Cap*EXP(-C100*E100)-Y100+IF(T100&lt;=Barrier,0,Y100-Z100+AA100-AB100)</f>
        <v>1636.9115378586491</v>
      </c>
      <c r="AD100" s="43">
        <f t="shared" ref="AD100:AD131" si="92">(S100-AC100)/(2*dS*B100)</f>
        <v>0.47278415560056347</v>
      </c>
      <c r="AE100" s="22">
        <f t="shared" ref="AE100:AE131" si="93">AD100*B100</f>
        <v>865.99400997199609</v>
      </c>
      <c r="AF100" s="22">
        <f t="shared" ref="AF100:AF131" si="94">I100-AE100</f>
        <v>779.69727519157163</v>
      </c>
      <c r="AG100" s="30">
        <f t="shared" ref="AG100:AG131" si="95">AE100/I100</f>
        <v>0.5262189924557592</v>
      </c>
    </row>
    <row r="101" spans="1:33" x14ac:dyDescent="0.2">
      <c r="A101" s="35">
        <f>P2_TaskV_Valuation!A101</f>
        <v>46050</v>
      </c>
      <c r="B101" s="36">
        <f>P2_TaskV_Valuation!B101</f>
        <v>1826.74</v>
      </c>
      <c r="C101" s="45">
        <f>P2_TaskV_Valuation!N101</f>
        <v>2.0042904241415721E-2</v>
      </c>
      <c r="D101" s="37">
        <f>P2_TaskV_Valuation!C101</f>
        <v>0.40600000000000003</v>
      </c>
      <c r="E101" s="46">
        <f>P2_TaskV_Valuation!D101</f>
        <v>1.3863013698630138</v>
      </c>
      <c r="F101" s="47">
        <f>P2_TaskV_Valuation!O101</f>
        <v>1.4042904241415721E-2</v>
      </c>
      <c r="G101" s="47">
        <f>P2_TaskV_Valuation!P101</f>
        <v>0.47802967753345582</v>
      </c>
      <c r="H101" s="47">
        <f>P2_TaskV_Valuation!Q101</f>
        <v>-0.41480681258089425</v>
      </c>
      <c r="I101" s="36">
        <f>P2_TaskV_Valuation!AB101</f>
        <v>1662.443282111079</v>
      </c>
      <c r="J101" s="22">
        <f t="shared" si="72"/>
        <v>1845.0074</v>
      </c>
      <c r="K101" s="28">
        <f t="shared" si="73"/>
        <v>0.11099727474346244</v>
      </c>
      <c r="L101" s="28">
        <f t="shared" si="74"/>
        <v>1.4589408160634818</v>
      </c>
      <c r="M101" s="28">
        <f t="shared" si="75"/>
        <v>-2.2474049360300405</v>
      </c>
      <c r="N101" s="28">
        <f t="shared" si="76"/>
        <v>-0.89946139471002096</v>
      </c>
      <c r="O101" s="28">
        <f t="shared" si="77"/>
        <v>417.14832280867404</v>
      </c>
      <c r="P101" s="28">
        <f t="shared" si="78"/>
        <v>185.41365733806708</v>
      </c>
      <c r="Q101" s="28">
        <f t="shared" si="79"/>
        <v>-1.672164966843825</v>
      </c>
      <c r="R101" s="28">
        <f t="shared" si="80"/>
        <v>87.132512422960048</v>
      </c>
      <c r="S101" s="22">
        <f t="shared" si="81"/>
        <v>1670.9755873224335</v>
      </c>
      <c r="T101" s="22">
        <f t="shared" si="82"/>
        <v>1808.4726000000001</v>
      </c>
      <c r="U101" s="28">
        <f t="shared" si="83"/>
        <v>6.9157473478676568E-2</v>
      </c>
      <c r="V101" s="28">
        <f t="shared" si="84"/>
        <v>1.417101014798696</v>
      </c>
      <c r="W101" s="28">
        <f t="shared" si="85"/>
        <v>-2.205565134765255</v>
      </c>
      <c r="X101" s="28">
        <f t="shared" si="86"/>
        <v>-0.85762159344523536</v>
      </c>
      <c r="Y101" s="28">
        <f t="shared" si="87"/>
        <v>433.96323014687698</v>
      </c>
      <c r="Z101" s="28">
        <f t="shared" si="88"/>
        <v>197.86725086727381</v>
      </c>
      <c r="AA101" s="28">
        <f t="shared" si="89"/>
        <v>-1.8889633106713184</v>
      </c>
      <c r="AB101" s="28">
        <f t="shared" si="90"/>
        <v>91.778647712215957</v>
      </c>
      <c r="AC101" s="22">
        <f t="shared" si="91"/>
        <v>1653.6590601601436</v>
      </c>
      <c r="AD101" s="43">
        <f t="shared" si="92"/>
        <v>0.47397350368114666</v>
      </c>
      <c r="AE101" s="22">
        <f t="shared" si="93"/>
        <v>865.82635811449779</v>
      </c>
      <c r="AF101" s="22">
        <f t="shared" si="94"/>
        <v>796.61692399658125</v>
      </c>
      <c r="AG101" s="30">
        <f t="shared" si="95"/>
        <v>0.52081557754861563</v>
      </c>
    </row>
    <row r="102" spans="1:33" x14ac:dyDescent="0.2">
      <c r="A102" s="35">
        <f>P2_TaskV_Valuation!A102</f>
        <v>46051</v>
      </c>
      <c r="B102" s="36">
        <f>P2_TaskV_Valuation!B102</f>
        <v>1777.73</v>
      </c>
      <c r="C102" s="45">
        <f>P2_TaskV_Valuation!N102</f>
        <v>1.9845010648768698E-2</v>
      </c>
      <c r="D102" s="37">
        <f>P2_TaskV_Valuation!C102</f>
        <v>0.40799999999999997</v>
      </c>
      <c r="E102" s="46">
        <f>P2_TaskV_Valuation!D102</f>
        <v>1.3835616438356164</v>
      </c>
      <c r="F102" s="47">
        <f>P2_TaskV_Valuation!O102</f>
        <v>1.3845010648768698E-2</v>
      </c>
      <c r="G102" s="47">
        <f>P2_TaskV_Valuation!P102</f>
        <v>0.47990958052476096</v>
      </c>
      <c r="H102" s="47">
        <f>P2_TaskV_Valuation!Q102</f>
        <v>-0.4168287999281004</v>
      </c>
      <c r="I102" s="36">
        <f>P2_TaskV_Valuation!AB102</f>
        <v>1636.3264841874427</v>
      </c>
      <c r="J102" s="22">
        <f t="shared" si="72"/>
        <v>1795.5073</v>
      </c>
      <c r="K102" s="28">
        <f t="shared" si="73"/>
        <v>5.5119650327836139E-2</v>
      </c>
      <c r="L102" s="28">
        <f t="shared" si="74"/>
        <v>1.3977830238865305</v>
      </c>
      <c r="M102" s="28">
        <f t="shared" si="75"/>
        <v>-2.1807075054439711</v>
      </c>
      <c r="N102" s="28">
        <f t="shared" si="76"/>
        <v>-0.83804413188527671</v>
      </c>
      <c r="O102" s="28">
        <f t="shared" si="77"/>
        <v>441.82050206587815</v>
      </c>
      <c r="P102" s="28">
        <f t="shared" si="78"/>
        <v>204.57829823419942</v>
      </c>
      <c r="Q102" s="28">
        <f t="shared" si="79"/>
        <v>-2.0391384232787271</v>
      </c>
      <c r="R102" s="28">
        <f t="shared" si="80"/>
        <v>93.900975470101088</v>
      </c>
      <c r="S102" s="22">
        <f t="shared" si="81"/>
        <v>1645.3150198164913</v>
      </c>
      <c r="T102" s="22">
        <f t="shared" si="82"/>
        <v>1759.9527</v>
      </c>
      <c r="U102" s="28">
        <f t="shared" si="83"/>
        <v>1.3443744035656069E-2</v>
      </c>
      <c r="V102" s="28">
        <f t="shared" si="84"/>
        <v>1.3561071175943498</v>
      </c>
      <c r="W102" s="28">
        <f t="shared" si="85"/>
        <v>-2.1390315991517901</v>
      </c>
      <c r="X102" s="28">
        <f t="shared" si="86"/>
        <v>-0.79636822559309617</v>
      </c>
      <c r="Y102" s="28">
        <f t="shared" si="87"/>
        <v>458.96775011682575</v>
      </c>
      <c r="Z102" s="28">
        <f t="shared" si="88"/>
        <v>217.82643973104061</v>
      </c>
      <c r="AA102" s="28">
        <f t="shared" si="89"/>
        <v>-2.2968302970893628</v>
      </c>
      <c r="AB102" s="28">
        <f t="shared" si="90"/>
        <v>98.624481100608534</v>
      </c>
      <c r="AC102" s="22">
        <f t="shared" si="91"/>
        <v>1627.0856808153321</v>
      </c>
      <c r="AD102" s="43">
        <f t="shared" si="92"/>
        <v>0.51271393859470038</v>
      </c>
      <c r="AE102" s="22">
        <f t="shared" si="93"/>
        <v>911.46695005795675</v>
      </c>
      <c r="AF102" s="22">
        <f t="shared" si="94"/>
        <v>724.85953412948595</v>
      </c>
      <c r="AG102" s="30">
        <f t="shared" si="95"/>
        <v>0.55702022723818934</v>
      </c>
    </row>
    <row r="103" spans="1:33" x14ac:dyDescent="0.2">
      <c r="A103" s="35">
        <f>P2_TaskV_Valuation!A103</f>
        <v>46052</v>
      </c>
      <c r="B103" s="36">
        <f>P2_TaskV_Valuation!B103</f>
        <v>1763.87</v>
      </c>
      <c r="C103" s="45">
        <f>P2_TaskV_Valuation!N103</f>
        <v>2.0033991617753492E-2</v>
      </c>
      <c r="D103" s="37">
        <f>P2_TaskV_Valuation!C103</f>
        <v>0.39600000000000002</v>
      </c>
      <c r="E103" s="46">
        <f>P2_TaskV_Valuation!D103</f>
        <v>1.3808219178082193</v>
      </c>
      <c r="F103" s="47">
        <f>P2_TaskV_Valuation!O103</f>
        <v>1.4033991617753492E-2</v>
      </c>
      <c r="G103" s="47">
        <f>P2_TaskV_Valuation!P103</f>
        <v>0.46533318156243031</v>
      </c>
      <c r="H103" s="47">
        <f>P2_TaskV_Valuation!Q103</f>
        <v>-0.4105066344138768</v>
      </c>
      <c r="I103" s="36">
        <f>P2_TaskV_Valuation!AB103</f>
        <v>1646.6540927733142</v>
      </c>
      <c r="J103" s="22">
        <f t="shared" si="72"/>
        <v>1781.5086999999999</v>
      </c>
      <c r="K103" s="28">
        <f t="shared" si="73"/>
        <v>2.5700589690349468E-2</v>
      </c>
      <c r="L103" s="28">
        <f t="shared" si="74"/>
        <v>1.4104224232526628</v>
      </c>
      <c r="M103" s="28">
        <f t="shared" si="75"/>
        <v>-2.246522610178705</v>
      </c>
      <c r="N103" s="28">
        <f t="shared" si="76"/>
        <v>-0.86180077661639154</v>
      </c>
      <c r="O103" s="28">
        <f t="shared" si="77"/>
        <v>437.94962457296367</v>
      </c>
      <c r="P103" s="28">
        <f t="shared" si="78"/>
        <v>195.26620995510035</v>
      </c>
      <c r="Q103" s="28">
        <f t="shared" si="79"/>
        <v>-1.6400764917663224</v>
      </c>
      <c r="R103" s="28">
        <f t="shared" si="80"/>
        <v>92.792995239034383</v>
      </c>
      <c r="S103" s="22">
        <f t="shared" si="81"/>
        <v>1655.7322231155881</v>
      </c>
      <c r="T103" s="22">
        <f t="shared" si="82"/>
        <v>1746.2312999999999</v>
      </c>
      <c r="U103" s="28">
        <f t="shared" si="83"/>
        <v>-1.7280799772387945E-2</v>
      </c>
      <c r="V103" s="28">
        <f t="shared" si="84"/>
        <v>1.3674410337899252</v>
      </c>
      <c r="W103" s="28">
        <f t="shared" si="85"/>
        <v>-2.2035412207159673</v>
      </c>
      <c r="X103" s="28">
        <f t="shared" si="86"/>
        <v>-0.81881938715365421</v>
      </c>
      <c r="Y103" s="28">
        <f t="shared" si="87"/>
        <v>455.38303798178856</v>
      </c>
      <c r="Z103" s="28">
        <f t="shared" si="88"/>
        <v>208.49355534697344</v>
      </c>
      <c r="AA103" s="28">
        <f t="shared" si="89"/>
        <v>-1.8590018153176064</v>
      </c>
      <c r="AB103" s="28">
        <f t="shared" si="90"/>
        <v>97.768300312084136</v>
      </c>
      <c r="AC103" s="22">
        <f t="shared" si="91"/>
        <v>1637.3106473271139</v>
      </c>
      <c r="AD103" s="43">
        <f t="shared" si="92"/>
        <v>0.52219199228044666</v>
      </c>
      <c r="AE103" s="22">
        <f t="shared" si="93"/>
        <v>921.07878942371144</v>
      </c>
      <c r="AF103" s="22">
        <f t="shared" si="94"/>
        <v>725.57530334960279</v>
      </c>
      <c r="AG103" s="30">
        <f t="shared" si="95"/>
        <v>0.5593638600031775</v>
      </c>
    </row>
    <row r="104" spans="1:33" x14ac:dyDescent="0.2">
      <c r="A104" s="35">
        <f>P2_TaskV_Valuation!A104</f>
        <v>46055</v>
      </c>
      <c r="B104" s="36">
        <f>P2_TaskV_Valuation!B104</f>
        <v>1711.89</v>
      </c>
      <c r="C104" s="45">
        <f>P2_TaskV_Valuation!N104</f>
        <v>2.0120731970898295E-2</v>
      </c>
      <c r="D104" s="37">
        <f>P2_TaskV_Valuation!C104</f>
        <v>0.40100000000000002</v>
      </c>
      <c r="E104" s="46">
        <f>P2_TaskV_Valuation!D104</f>
        <v>1.3726027397260274</v>
      </c>
      <c r="F104" s="47">
        <f>P2_TaskV_Valuation!O104</f>
        <v>1.4120731970898295E-2</v>
      </c>
      <c r="G104" s="47">
        <f>P2_TaskV_Valuation!P104</f>
        <v>0.46980410082361451</v>
      </c>
      <c r="H104" s="47">
        <f>P2_TaskV_Valuation!Q104</f>
        <v>-0.4121850487814237</v>
      </c>
      <c r="I104" s="36">
        <f>P2_TaskV_Valuation!AB104</f>
        <v>1612.9464206660252</v>
      </c>
      <c r="J104" s="22">
        <f t="shared" si="72"/>
        <v>1729.0089</v>
      </c>
      <c r="K104" s="28">
        <f t="shared" si="73"/>
        <v>-3.3756036600380734E-2</v>
      </c>
      <c r="L104" s="28">
        <f t="shared" si="74"/>
        <v>1.3377880075254363</v>
      </c>
      <c r="M104" s="28">
        <f t="shared" si="75"/>
        <v>-2.1570163024354132</v>
      </c>
      <c r="N104" s="28">
        <f t="shared" si="76"/>
        <v>-0.78547225830959611</v>
      </c>
      <c r="O104" s="28">
        <f t="shared" si="77"/>
        <v>467.18787923244599</v>
      </c>
      <c r="P104" s="28">
        <f t="shared" si="78"/>
        <v>219.74241351543026</v>
      </c>
      <c r="Q104" s="28">
        <f t="shared" si="79"/>
        <v>-2.1421221836102262</v>
      </c>
      <c r="R104" s="28">
        <f t="shared" si="80"/>
        <v>101.09928418788473</v>
      </c>
      <c r="S104" s="22">
        <f t="shared" si="81"/>
        <v>1622.5364042527981</v>
      </c>
      <c r="T104" s="22">
        <f t="shared" si="82"/>
        <v>1694.7711000000002</v>
      </c>
      <c r="U104" s="28">
        <f t="shared" si="83"/>
        <v>-7.6328391059625023E-2</v>
      </c>
      <c r="V104" s="28">
        <f t="shared" si="84"/>
        <v>1.295215653066192</v>
      </c>
      <c r="W104" s="28">
        <f t="shared" si="85"/>
        <v>-2.1144439479761692</v>
      </c>
      <c r="X104" s="28">
        <f t="shared" si="86"/>
        <v>-0.74289990385035187</v>
      </c>
      <c r="Y104" s="28">
        <f t="shared" si="87"/>
        <v>484.91063138484151</v>
      </c>
      <c r="Z104" s="28">
        <f t="shared" si="88"/>
        <v>233.90157186878378</v>
      </c>
      <c r="AA104" s="28">
        <f t="shared" si="89"/>
        <v>-2.4172570141930478</v>
      </c>
      <c r="AB104" s="28">
        <f t="shared" si="90"/>
        <v>106.10691310249521</v>
      </c>
      <c r="AC104" s="22">
        <f t="shared" si="91"/>
        <v>1603.0944821542512</v>
      </c>
      <c r="AD104" s="43">
        <f t="shared" si="92"/>
        <v>0.56784963106703445</v>
      </c>
      <c r="AE104" s="22">
        <f t="shared" si="93"/>
        <v>972.09610492734566</v>
      </c>
      <c r="AF104" s="22">
        <f t="shared" si="94"/>
        <v>640.85031573867957</v>
      </c>
      <c r="AG104" s="30">
        <f t="shared" si="95"/>
        <v>0.60268344470236235</v>
      </c>
    </row>
    <row r="105" spans="1:33" x14ac:dyDescent="0.2">
      <c r="A105" s="35">
        <f>P2_TaskV_Valuation!A105</f>
        <v>46056</v>
      </c>
      <c r="B105" s="36">
        <f>P2_TaskV_Valuation!B105</f>
        <v>1743.08</v>
      </c>
      <c r="C105" s="45">
        <f>P2_TaskV_Valuation!N105</f>
        <v>2.0272750029054022E-2</v>
      </c>
      <c r="D105" s="37">
        <f>P2_TaskV_Valuation!C105</f>
        <v>0.39600000000000002</v>
      </c>
      <c r="E105" s="46">
        <f>P2_TaskV_Valuation!D105</f>
        <v>1.3698630136986301</v>
      </c>
      <c r="F105" s="47">
        <f>P2_TaskV_Valuation!O105</f>
        <v>1.4272750029054022E-2</v>
      </c>
      <c r="G105" s="47">
        <f>P2_TaskV_Valuation!P105</f>
        <v>0.46348294289667707</v>
      </c>
      <c r="H105" s="47">
        <f>P2_TaskV_Valuation!Q105</f>
        <v>-0.40898409582533657</v>
      </c>
      <c r="I105" s="36">
        <f>P2_TaskV_Valuation!AB105</f>
        <v>1637.8465092497252</v>
      </c>
      <c r="J105" s="22">
        <f t="shared" si="72"/>
        <v>1760.5108</v>
      </c>
      <c r="K105" s="28">
        <f t="shared" si="73"/>
        <v>-1.2584169649283994E-3</v>
      </c>
      <c r="L105" s="28">
        <f t="shared" si="74"/>
        <v>1.3889912702477418</v>
      </c>
      <c r="M105" s="28">
        <f t="shared" si="75"/>
        <v>-2.2313893763291852</v>
      </c>
      <c r="N105" s="28">
        <f t="shared" si="76"/>
        <v>-0.84113968911651493</v>
      </c>
      <c r="O105" s="28">
        <f t="shared" si="77"/>
        <v>446.76580678089272</v>
      </c>
      <c r="P105" s="28">
        <f t="shared" si="78"/>
        <v>201.07713310291791</v>
      </c>
      <c r="Q105" s="28">
        <f t="shared" si="79"/>
        <v>-1.7073304656796733</v>
      </c>
      <c r="R105" s="28">
        <f t="shared" si="80"/>
        <v>95.315967487493765</v>
      </c>
      <c r="S105" s="22">
        <f t="shared" si="81"/>
        <v>1647.1219205129289</v>
      </c>
      <c r="T105" s="22">
        <f t="shared" si="82"/>
        <v>1725.6491999999998</v>
      </c>
      <c r="U105" s="28">
        <f t="shared" si="83"/>
        <v>-4.4411389502967025E-2</v>
      </c>
      <c r="V105" s="28">
        <f t="shared" si="84"/>
        <v>1.3458382977097032</v>
      </c>
      <c r="W105" s="28">
        <f t="shared" si="85"/>
        <v>-2.1882364037911466</v>
      </c>
      <c r="X105" s="28">
        <f t="shared" si="86"/>
        <v>-0.79798671657847653</v>
      </c>
      <c r="Y105" s="28">
        <f t="shared" si="87"/>
        <v>464.36786640914397</v>
      </c>
      <c r="Z105" s="28">
        <f t="shared" si="88"/>
        <v>214.61392815410503</v>
      </c>
      <c r="AA105" s="28">
        <f t="shared" si="89"/>
        <v>-1.9352214617228487</v>
      </c>
      <c r="AB105" s="28">
        <f t="shared" si="90"/>
        <v>100.36972516820487</v>
      </c>
      <c r="AC105" s="22">
        <f t="shared" si="91"/>
        <v>1628.3034767849874</v>
      </c>
      <c r="AD105" s="43">
        <f t="shared" si="92"/>
        <v>0.53980436147341149</v>
      </c>
      <c r="AE105" s="22">
        <f t="shared" si="93"/>
        <v>940.92218639707403</v>
      </c>
      <c r="AF105" s="22">
        <f t="shared" si="94"/>
        <v>696.92432285265113</v>
      </c>
      <c r="AG105" s="30">
        <f t="shared" si="95"/>
        <v>0.57448740225852879</v>
      </c>
    </row>
    <row r="106" spans="1:33" x14ac:dyDescent="0.2">
      <c r="A106" s="35">
        <f>P2_TaskV_Valuation!A106</f>
        <v>46057</v>
      </c>
      <c r="B106" s="36">
        <f>P2_TaskV_Valuation!B106</f>
        <v>1662.88</v>
      </c>
      <c r="C106" s="45">
        <f>P2_TaskV_Valuation!N106</f>
        <v>2.0104602045617304E-2</v>
      </c>
      <c r="D106" s="37">
        <f>P2_TaskV_Valuation!C106</f>
        <v>0.42499999999999999</v>
      </c>
      <c r="E106" s="46">
        <f>P2_TaskV_Valuation!D106</f>
        <v>1.3671232876712329</v>
      </c>
      <c r="F106" s="47">
        <f>P2_TaskV_Valuation!O106</f>
        <v>1.4104602045617304E-2</v>
      </c>
      <c r="G106" s="47">
        <f>P2_TaskV_Valuation!P106</f>
        <v>0.49692720174650978</v>
      </c>
      <c r="H106" s="47">
        <f>P2_TaskV_Valuation!Q106</f>
        <v>-0.42191223780973114</v>
      </c>
      <c r="I106" s="36">
        <f>P2_TaskV_Valuation!AB106</f>
        <v>1552.0276893074388</v>
      </c>
      <c r="J106" s="22">
        <f t="shared" si="72"/>
        <v>1679.5088000000001</v>
      </c>
      <c r="K106" s="28">
        <f t="shared" si="73"/>
        <v>-6.4183966784265023E-2</v>
      </c>
      <c r="L106" s="28">
        <f t="shared" si="74"/>
        <v>1.2324989560379187</v>
      </c>
      <c r="M106" s="28">
        <f t="shared" si="75"/>
        <v>-1.9546468108018782</v>
      </c>
      <c r="N106" s="28">
        <f t="shared" si="76"/>
        <v>-0.6579638879796943</v>
      </c>
      <c r="O106" s="28">
        <f t="shared" si="77"/>
        <v>511.11856935979938</v>
      </c>
      <c r="P106" s="28">
        <f t="shared" si="78"/>
        <v>268.09287019998521</v>
      </c>
      <c r="Q106" s="28">
        <f t="shared" si="79"/>
        <v>-3.928079228565629</v>
      </c>
      <c r="R106" s="28">
        <f t="shared" si="80"/>
        <v>111.77665789736142</v>
      </c>
      <c r="S106" s="22">
        <f t="shared" si="81"/>
        <v>1561.9800304136152</v>
      </c>
      <c r="T106" s="22">
        <f t="shared" si="82"/>
        <v>1646.2512000000002</v>
      </c>
      <c r="U106" s="28">
        <f t="shared" si="83"/>
        <v>-0.10443265237920663</v>
      </c>
      <c r="V106" s="28">
        <f t="shared" si="84"/>
        <v>1.1922502704429769</v>
      </c>
      <c r="W106" s="28">
        <f t="shared" si="85"/>
        <v>-1.9143981252069369</v>
      </c>
      <c r="X106" s="28">
        <f t="shared" si="86"/>
        <v>-0.61771520238475297</v>
      </c>
      <c r="Y106" s="28">
        <f t="shared" si="87"/>
        <v>528.71871151218147</v>
      </c>
      <c r="Z106" s="28">
        <f t="shared" si="88"/>
        <v>283.29901677501948</v>
      </c>
      <c r="AA106" s="28">
        <f t="shared" si="89"/>
        <v>-4.3724685402054249</v>
      </c>
      <c r="AB106" s="28">
        <f t="shared" si="90"/>
        <v>116.26593137812068</v>
      </c>
      <c r="AC106" s="22">
        <f t="shared" si="91"/>
        <v>1541.8402210461818</v>
      </c>
      <c r="AD106" s="43">
        <f t="shared" si="92"/>
        <v>0.60557013637284018</v>
      </c>
      <c r="AE106" s="22">
        <f t="shared" si="93"/>
        <v>1006.9904683716685</v>
      </c>
      <c r="AF106" s="22">
        <f t="shared" si="94"/>
        <v>545.03722093577028</v>
      </c>
      <c r="AG106" s="30">
        <f t="shared" si="95"/>
        <v>0.64882248899890294</v>
      </c>
    </row>
    <row r="107" spans="1:33" x14ac:dyDescent="0.2">
      <c r="A107" s="35">
        <f>P2_TaskV_Valuation!A107</f>
        <v>46058</v>
      </c>
      <c r="B107" s="36">
        <f>P2_TaskV_Valuation!B107</f>
        <v>1555.45</v>
      </c>
      <c r="C107" s="45">
        <f>P2_TaskV_Valuation!N107</f>
        <v>2.0060665555146379E-2</v>
      </c>
      <c r="D107" s="37">
        <f>P2_TaskV_Valuation!C107</f>
        <v>0.48699999999999999</v>
      </c>
      <c r="E107" s="46">
        <f>P2_TaskV_Valuation!D107</f>
        <v>1.3643835616438356</v>
      </c>
      <c r="F107" s="47">
        <f>P2_TaskV_Valuation!O107</f>
        <v>1.4060665555146378E-2</v>
      </c>
      <c r="G107" s="47">
        <f>P2_TaskV_Valuation!P107</f>
        <v>0.56884926380501433</v>
      </c>
      <c r="H107" s="47">
        <f>P2_TaskV_Valuation!Q107</f>
        <v>-0.44071457249831819</v>
      </c>
      <c r="I107" s="36">
        <f>P2_TaskV_Valuation!AB107</f>
        <v>1408.0056303186971</v>
      </c>
      <c r="J107" s="22">
        <f t="shared" si="72"/>
        <v>1571.0045</v>
      </c>
      <c r="K107" s="28">
        <f t="shared" si="73"/>
        <v>-0.10627257044099842</v>
      </c>
      <c r="L107" s="28">
        <f t="shared" si="74"/>
        <v>1.0264651465429879</v>
      </c>
      <c r="M107" s="28">
        <f t="shared" si="75"/>
        <v>-1.5229046561445654</v>
      </c>
      <c r="N107" s="28">
        <f t="shared" si="76"/>
        <v>-0.39016693916057921</v>
      </c>
      <c r="O107" s="28">
        <f t="shared" si="77"/>
        <v>614.85563515808929</v>
      </c>
      <c r="P107" s="28">
        <f t="shared" si="78"/>
        <v>392.38405024743849</v>
      </c>
      <c r="Q107" s="28">
        <f t="shared" si="79"/>
        <v>-12.83178546416962</v>
      </c>
      <c r="R107" s="28">
        <f t="shared" si="80"/>
        <v>122.76227082160096</v>
      </c>
      <c r="S107" s="22">
        <f t="shared" si="81"/>
        <v>1418.023361679695</v>
      </c>
      <c r="T107" s="22">
        <f t="shared" si="82"/>
        <v>1539.8955000000001</v>
      </c>
      <c r="U107" s="28">
        <f t="shared" si="83"/>
        <v>-0.14143244139325312</v>
      </c>
      <c r="V107" s="28">
        <f t="shared" si="84"/>
        <v>0.99130527559073323</v>
      </c>
      <c r="W107" s="28">
        <f t="shared" si="85"/>
        <v>-1.4877447851923105</v>
      </c>
      <c r="X107" s="28">
        <f t="shared" si="86"/>
        <v>-0.35500706820832439</v>
      </c>
      <c r="Y107" s="28">
        <f t="shared" si="87"/>
        <v>631.8032026161618</v>
      </c>
      <c r="Z107" s="28">
        <f t="shared" si="88"/>
        <v>408.98205212688129</v>
      </c>
      <c r="AA107" s="28">
        <f t="shared" si="89"/>
        <v>-13.910942366404882</v>
      </c>
      <c r="AB107" s="28">
        <f t="shared" si="90"/>
        <v>125.29165025052242</v>
      </c>
      <c r="AC107" s="22">
        <f t="shared" si="91"/>
        <v>1397.8168234690954</v>
      </c>
      <c r="AD107" s="43">
        <f t="shared" si="92"/>
        <v>0.64953994697995898</v>
      </c>
      <c r="AE107" s="22">
        <f t="shared" si="93"/>
        <v>1010.3269105299772</v>
      </c>
      <c r="AF107" s="22">
        <f t="shared" si="94"/>
        <v>397.67871978871983</v>
      </c>
      <c r="AG107" s="30">
        <f t="shared" si="95"/>
        <v>0.7175588568500918</v>
      </c>
    </row>
    <row r="108" spans="1:33" x14ac:dyDescent="0.2">
      <c r="A108" s="35">
        <f>P2_TaskV_Valuation!A108</f>
        <v>46059</v>
      </c>
      <c r="B108" s="36">
        <f>P2_TaskV_Valuation!B108</f>
        <v>1588.62</v>
      </c>
      <c r="C108" s="45">
        <f>P2_TaskV_Valuation!N108</f>
        <v>1.9963006744973956E-2</v>
      </c>
      <c r="D108" s="37">
        <f>P2_TaskV_Valuation!C108</f>
        <v>0.47899999999999998</v>
      </c>
      <c r="E108" s="46">
        <f>P2_TaskV_Valuation!D108</f>
        <v>1.3616438356164384</v>
      </c>
      <c r="F108" s="47">
        <f>P2_TaskV_Valuation!O108</f>
        <v>1.3963006744973956E-2</v>
      </c>
      <c r="G108" s="47">
        <f>P2_TaskV_Valuation!P108</f>
        <v>0.5589426833653619</v>
      </c>
      <c r="H108" s="47">
        <f>P2_TaskV_Valuation!Q108</f>
        <v>-0.43914336694412087</v>
      </c>
      <c r="I108" s="36">
        <f>P2_TaskV_Valuation!AB108</f>
        <v>1439.1324817052741</v>
      </c>
      <c r="J108" s="22">
        <f t="shared" si="72"/>
        <v>1604.5061999999998</v>
      </c>
      <c r="K108" s="28">
        <f t="shared" si="73"/>
        <v>-8.0706005293965322E-2</v>
      </c>
      <c r="L108" s="28">
        <f t="shared" si="74"/>
        <v>1.0721081124450424</v>
      </c>
      <c r="M108" s="28">
        <f t="shared" si="75"/>
        <v>-1.59794880725702</v>
      </c>
      <c r="N108" s="28">
        <f t="shared" si="76"/>
        <v>-0.44513468951801188</v>
      </c>
      <c r="O108" s="28">
        <f t="shared" si="77"/>
        <v>591.06517407926867</v>
      </c>
      <c r="P108" s="28">
        <f t="shared" si="78"/>
        <v>365.81102477131202</v>
      </c>
      <c r="Q108" s="28">
        <f t="shared" si="79"/>
        <v>-10.623922302062148</v>
      </c>
      <c r="R108" s="28">
        <f t="shared" si="80"/>
        <v>120.83763437702896</v>
      </c>
      <c r="S108" s="22">
        <f t="shared" si="81"/>
        <v>1449.0946472849969</v>
      </c>
      <c r="T108" s="22">
        <f t="shared" si="82"/>
        <v>1572.7338</v>
      </c>
      <c r="U108" s="28">
        <f t="shared" si="83"/>
        <v>-0.11648904227057733</v>
      </c>
      <c r="V108" s="28">
        <f t="shared" si="84"/>
        <v>1.0363250754684308</v>
      </c>
      <c r="W108" s="28">
        <f t="shared" si="85"/>
        <v>-1.5621657702804082</v>
      </c>
      <c r="X108" s="28">
        <f t="shared" si="86"/>
        <v>-0.40935165254140021</v>
      </c>
      <c r="Y108" s="28">
        <f t="shared" si="87"/>
        <v>608.0588869923273</v>
      </c>
      <c r="Z108" s="28">
        <f t="shared" si="88"/>
        <v>382.08270246436393</v>
      </c>
      <c r="AA108" s="28">
        <f t="shared" si="89"/>
        <v>-11.559270517860526</v>
      </c>
      <c r="AB108" s="28">
        <f t="shared" si="90"/>
        <v>123.73602951372015</v>
      </c>
      <c r="AC108" s="22">
        <f t="shared" si="91"/>
        <v>1428.9892262394553</v>
      </c>
      <c r="AD108" s="43">
        <f t="shared" si="92"/>
        <v>0.63279516327194552</v>
      </c>
      <c r="AE108" s="22">
        <f t="shared" si="93"/>
        <v>1005.2710522770781</v>
      </c>
      <c r="AF108" s="22">
        <f t="shared" si="94"/>
        <v>433.86142942819606</v>
      </c>
      <c r="AG108" s="30">
        <f t="shared" si="95"/>
        <v>0.69852571952646103</v>
      </c>
    </row>
    <row r="109" spans="1:33" x14ac:dyDescent="0.2">
      <c r="A109" s="35">
        <f>P2_TaskV_Valuation!A109</f>
        <v>46062</v>
      </c>
      <c r="B109" s="36">
        <f>P2_TaskV_Valuation!B109</f>
        <v>1632.68</v>
      </c>
      <c r="C109" s="45">
        <f>P2_TaskV_Valuation!N109</f>
        <v>1.9868097286979036E-2</v>
      </c>
      <c r="D109" s="37">
        <f>P2_TaskV_Valuation!C109</f>
        <v>0.47699999999999998</v>
      </c>
      <c r="E109" s="46">
        <f>P2_TaskV_Valuation!D109</f>
        <v>1.3534246575342466</v>
      </c>
      <c r="F109" s="47">
        <f>P2_TaskV_Valuation!O109</f>
        <v>1.3868097286979035E-2</v>
      </c>
      <c r="G109" s="47">
        <f>P2_TaskV_Valuation!P109</f>
        <v>0.55492644458892892</v>
      </c>
      <c r="H109" s="47">
        <f>P2_TaskV_Valuation!Q109</f>
        <v>-0.43904910017193838</v>
      </c>
      <c r="I109" s="36">
        <f>P2_TaskV_Valuation!AB109</f>
        <v>1470.6893730321415</v>
      </c>
      <c r="J109" s="22">
        <f t="shared" si="72"/>
        <v>1649.0068000000001</v>
      </c>
      <c r="K109" s="28">
        <f t="shared" si="73"/>
        <v>-3.6460524099364955E-2</v>
      </c>
      <c r="L109" s="28">
        <f t="shared" si="74"/>
        <v>1.1246969998817302</v>
      </c>
      <c r="M109" s="28">
        <f t="shared" si="75"/>
        <v>-1.6632815470017326</v>
      </c>
      <c r="N109" s="28">
        <f t="shared" si="76"/>
        <v>-0.50212402302063719</v>
      </c>
      <c r="O109" s="28">
        <f t="shared" si="77"/>
        <v>565.75928513239955</v>
      </c>
      <c r="P109" s="28">
        <f t="shared" si="78"/>
        <v>340.51735579158026</v>
      </c>
      <c r="Q109" s="28">
        <f t="shared" si="79"/>
        <v>-9.038700849374159</v>
      </c>
      <c r="R109" s="28">
        <f t="shared" si="80"/>
        <v>116.92348749432216</v>
      </c>
      <c r="S109" s="22">
        <f t="shared" si="81"/>
        <v>1480.4571431865606</v>
      </c>
      <c r="T109" s="22">
        <f t="shared" si="82"/>
        <v>1616.3532</v>
      </c>
      <c r="U109" s="28">
        <f t="shared" si="83"/>
        <v>-7.250253813869495E-2</v>
      </c>
      <c r="V109" s="28">
        <f t="shared" si="84"/>
        <v>1.0886549858424006</v>
      </c>
      <c r="W109" s="28">
        <f t="shared" si="85"/>
        <v>-1.627239532962403</v>
      </c>
      <c r="X109" s="28">
        <f t="shared" si="86"/>
        <v>-0.46608200898130719</v>
      </c>
      <c r="Y109" s="28">
        <f t="shared" si="87"/>
        <v>582.65686376320139</v>
      </c>
      <c r="Z109" s="28">
        <f t="shared" si="88"/>
        <v>356.2839598449948</v>
      </c>
      <c r="AA109" s="28">
        <f t="shared" si="89"/>
        <v>-9.8591942452231791</v>
      </c>
      <c r="AB109" s="28">
        <f t="shared" si="90"/>
        <v>120.06013435506327</v>
      </c>
      <c r="AC109" s="22">
        <f t="shared" si="91"/>
        <v>1460.7333988765563</v>
      </c>
      <c r="AD109" s="43">
        <f t="shared" si="92"/>
        <v>0.60402970300378356</v>
      </c>
      <c r="AE109" s="22">
        <f t="shared" si="93"/>
        <v>986.18721550021735</v>
      </c>
      <c r="AF109" s="22">
        <f t="shared" si="94"/>
        <v>484.50215753192413</v>
      </c>
      <c r="AG109" s="30">
        <f t="shared" si="95"/>
        <v>0.6705611895916409</v>
      </c>
    </row>
    <row r="110" spans="1:33" x14ac:dyDescent="0.2">
      <c r="A110" s="35">
        <f>P2_TaskV_Valuation!A110</f>
        <v>46063</v>
      </c>
      <c r="B110" s="36">
        <f>P2_TaskV_Valuation!B110</f>
        <v>1612.88</v>
      </c>
      <c r="C110" s="45">
        <f>P2_TaskV_Valuation!N110</f>
        <v>1.9872580724164788E-2</v>
      </c>
      <c r="D110" s="37">
        <f>P2_TaskV_Valuation!C110</f>
        <v>0.46500000000000002</v>
      </c>
      <c r="E110" s="46">
        <f>P2_TaskV_Valuation!D110</f>
        <v>1.3506849315068492</v>
      </c>
      <c r="F110" s="47">
        <f>P2_TaskV_Valuation!O110</f>
        <v>1.3872580724164788E-2</v>
      </c>
      <c r="G110" s="47">
        <f>P2_TaskV_Valuation!P110</f>
        <v>0.5404182170458991</v>
      </c>
      <c r="H110" s="47">
        <f>P2_TaskV_Valuation!Q110</f>
        <v>-0.43584192057271459</v>
      </c>
      <c r="I110" s="36">
        <f>P2_TaskV_Valuation!AB110</f>
        <v>1473.6762807330476</v>
      </c>
      <c r="J110" s="22">
        <f t="shared" si="72"/>
        <v>1629.0088000000001</v>
      </c>
      <c r="K110" s="28">
        <f t="shared" si="73"/>
        <v>-7.477919357638918E-2</v>
      </c>
      <c r="L110" s="28">
        <f t="shared" si="74"/>
        <v>1.1175511092634693</v>
      </c>
      <c r="M110" s="28">
        <f t="shared" si="75"/>
        <v>-1.7001188052710638</v>
      </c>
      <c r="N110" s="28">
        <f t="shared" si="76"/>
        <v>-0.50778850243120488</v>
      </c>
      <c r="O110" s="28">
        <f t="shared" si="77"/>
        <v>566.77580945980537</v>
      </c>
      <c r="P110" s="28">
        <f t="shared" si="78"/>
        <v>335.81769609630805</v>
      </c>
      <c r="Q110" s="28">
        <f t="shared" si="79"/>
        <v>-8.0919084237236305</v>
      </c>
      <c r="R110" s="28">
        <f t="shared" si="80"/>
        <v>119.43953091833583</v>
      </c>
      <c r="S110" s="22">
        <f t="shared" si="81"/>
        <v>1483.6817419593845</v>
      </c>
      <c r="T110" s="22">
        <f t="shared" si="82"/>
        <v>1596.7512000000002</v>
      </c>
      <c r="U110" s="28">
        <f t="shared" si="83"/>
        <v>-0.11178880220135295</v>
      </c>
      <c r="V110" s="28">
        <f t="shared" si="84"/>
        <v>1.0805415006385055</v>
      </c>
      <c r="W110" s="28">
        <f t="shared" si="85"/>
        <v>-1.6631091966460998</v>
      </c>
      <c r="X110" s="28">
        <f t="shared" si="86"/>
        <v>-0.47077889380624116</v>
      </c>
      <c r="Y110" s="28">
        <f t="shared" si="87"/>
        <v>583.96262671527995</v>
      </c>
      <c r="Z110" s="28">
        <f t="shared" si="88"/>
        <v>351.84709552704771</v>
      </c>
      <c r="AA110" s="28">
        <f t="shared" si="89"/>
        <v>-8.8576788383379039</v>
      </c>
      <c r="AB110" s="28">
        <f t="shared" si="90"/>
        <v>122.85146178537161</v>
      </c>
      <c r="AC110" s="22">
        <f t="shared" si="91"/>
        <v>1463.4746412469947</v>
      </c>
      <c r="AD110" s="43">
        <f t="shared" si="92"/>
        <v>0.62642914266373728</v>
      </c>
      <c r="AE110" s="22">
        <f t="shared" si="93"/>
        <v>1010.3550356194886</v>
      </c>
      <c r="AF110" s="22">
        <f t="shared" si="94"/>
        <v>463.32124511355903</v>
      </c>
      <c r="AG110" s="30">
        <f t="shared" si="95"/>
        <v>0.68560174906045845</v>
      </c>
    </row>
    <row r="111" spans="1:33" x14ac:dyDescent="0.2">
      <c r="A111" s="35">
        <f>P2_TaskV_Valuation!A111</f>
        <v>46064</v>
      </c>
      <c r="B111" s="36">
        <f>P2_TaskV_Valuation!B111</f>
        <v>1576.24</v>
      </c>
      <c r="C111" s="45">
        <f>P2_TaskV_Valuation!N111</f>
        <v>1.9944338540093066E-2</v>
      </c>
      <c r="D111" s="37">
        <f>P2_TaskV_Valuation!C111</f>
        <v>0.45900000000000002</v>
      </c>
      <c r="E111" s="46">
        <f>P2_TaskV_Valuation!D111</f>
        <v>1.3479452054794521</v>
      </c>
      <c r="F111" s="47">
        <f>P2_TaskV_Valuation!O111</f>
        <v>1.3944338540093066E-2</v>
      </c>
      <c r="G111" s="47">
        <f>P2_TaskV_Valuation!P111</f>
        <v>0.53290378478259703</v>
      </c>
      <c r="H111" s="47">
        <f>P2_TaskV_Valuation!Q111</f>
        <v>-0.43381302281604384</v>
      </c>
      <c r="I111" s="36">
        <f>P2_TaskV_Valuation!AB111</f>
        <v>1457.9764647307013</v>
      </c>
      <c r="J111" s="22">
        <f t="shared" si="72"/>
        <v>1592.0024000000001</v>
      </c>
      <c r="K111" s="28">
        <f t="shared" si="73"/>
        <v>-0.12641148614130227</v>
      </c>
      <c r="L111" s="28">
        <f t="shared" si="74"/>
        <v>1.0827317678391224</v>
      </c>
      <c r="M111" s="28">
        <f t="shared" si="75"/>
        <v>-1.6884286557476509</v>
      </c>
      <c r="N111" s="28">
        <f t="shared" si="76"/>
        <v>-0.47928540176722589</v>
      </c>
      <c r="O111" s="28">
        <f t="shared" si="77"/>
        <v>581.75804938471322</v>
      </c>
      <c r="P111" s="28">
        <f t="shared" si="78"/>
        <v>346.74960502558014</v>
      </c>
      <c r="Q111" s="28">
        <f t="shared" si="79"/>
        <v>-8.2349309801301871</v>
      </c>
      <c r="R111" s="28">
        <f t="shared" si="80"/>
        <v>123.69311110979999</v>
      </c>
      <c r="S111" s="22">
        <f t="shared" si="81"/>
        <v>1468.2709112117921</v>
      </c>
      <c r="T111" s="22">
        <f t="shared" si="82"/>
        <v>1560.4775999999999</v>
      </c>
      <c r="U111" s="28">
        <f t="shared" si="83"/>
        <v>-0.16394296420132215</v>
      </c>
      <c r="V111" s="28">
        <f t="shared" si="84"/>
        <v>1.0452002897791024</v>
      </c>
      <c r="W111" s="28">
        <f t="shared" si="85"/>
        <v>-1.6508971776876309</v>
      </c>
      <c r="X111" s="28">
        <f t="shared" si="86"/>
        <v>-0.44175392370720612</v>
      </c>
      <c r="Y111" s="28">
        <f t="shared" si="87"/>
        <v>599.19738827331275</v>
      </c>
      <c r="Z111" s="28">
        <f t="shared" si="88"/>
        <v>363.26760344512405</v>
      </c>
      <c r="AA111" s="28">
        <f t="shared" si="89"/>
        <v>-9.0230489621214076</v>
      </c>
      <c r="AB111" s="28">
        <f t="shared" si="90"/>
        <v>127.17341813594277</v>
      </c>
      <c r="AC111" s="22">
        <f t="shared" si="91"/>
        <v>1447.484487784114</v>
      </c>
      <c r="AD111" s="43">
        <f t="shared" si="92"/>
        <v>0.65936733707043571</v>
      </c>
      <c r="AE111" s="22">
        <f t="shared" si="93"/>
        <v>1039.3211713839037</v>
      </c>
      <c r="AF111" s="22">
        <f t="shared" si="94"/>
        <v>418.65529334679763</v>
      </c>
      <c r="AG111" s="30">
        <f t="shared" si="95"/>
        <v>0.71285181655924312</v>
      </c>
    </row>
    <row r="112" spans="1:33" x14ac:dyDescent="0.2">
      <c r="A112" s="35">
        <f>P2_TaskV_Valuation!A112</f>
        <v>46065</v>
      </c>
      <c r="B112" s="36">
        <f>P2_TaskV_Valuation!B112</f>
        <v>1563.87</v>
      </c>
      <c r="C112" s="45">
        <f>P2_TaskV_Valuation!N112</f>
        <v>1.9888808501182766E-2</v>
      </c>
      <c r="D112" s="37">
        <f>P2_TaskV_Valuation!C112</f>
        <v>0.44600000000000001</v>
      </c>
      <c r="E112" s="46">
        <f>P2_TaskV_Valuation!D112</f>
        <v>1.3452054794520547</v>
      </c>
      <c r="F112" s="47">
        <f>P2_TaskV_Valuation!O112</f>
        <v>1.3888808501182766E-2</v>
      </c>
      <c r="G112" s="47">
        <f>P2_TaskV_Valuation!P112</f>
        <v>0.51728415126570904</v>
      </c>
      <c r="H112" s="47">
        <f>P2_TaskV_Valuation!Q112</f>
        <v>-0.43017751965059237</v>
      </c>
      <c r="I112" s="36">
        <f>P2_TaskV_Valuation!AB112</f>
        <v>1466.2227130302786</v>
      </c>
      <c r="J112" s="22">
        <f t="shared" si="72"/>
        <v>1579.5086999999999</v>
      </c>
      <c r="K112" s="28">
        <f t="shared" si="73"/>
        <v>-0.16153323693426386</v>
      </c>
      <c r="L112" s="28">
        <f t="shared" si="74"/>
        <v>1.0841206552522218</v>
      </c>
      <c r="M112" s="28">
        <f t="shared" si="75"/>
        <v>-1.7402542711993785</v>
      </c>
      <c r="N112" s="28">
        <f t="shared" si="76"/>
        <v>-0.49460037901289289</v>
      </c>
      <c r="O112" s="28">
        <f t="shared" si="77"/>
        <v>579.13673916239543</v>
      </c>
      <c r="P112" s="28">
        <f t="shared" si="78"/>
        <v>337.72492568974616</v>
      </c>
      <c r="Q112" s="28">
        <f t="shared" si="79"/>
        <v>-7.079343067918785</v>
      </c>
      <c r="R112" s="28">
        <f t="shared" si="80"/>
        <v>125.63858187281801</v>
      </c>
      <c r="S112" s="22">
        <f t="shared" si="81"/>
        <v>1476.7575449106332</v>
      </c>
      <c r="T112" s="22">
        <f t="shared" si="82"/>
        <v>1548.2312999999999</v>
      </c>
      <c r="U112" s="28">
        <f t="shared" si="83"/>
        <v>-0.20019799528367632</v>
      </c>
      <c r="V112" s="28">
        <f t="shared" si="84"/>
        <v>1.0454558969028094</v>
      </c>
      <c r="W112" s="28">
        <f t="shared" si="85"/>
        <v>-1.7015895128499661</v>
      </c>
      <c r="X112" s="28">
        <f t="shared" si="86"/>
        <v>-0.45593562066348037</v>
      </c>
      <c r="Y112" s="28">
        <f t="shared" si="87"/>
        <v>596.87533295258049</v>
      </c>
      <c r="Z112" s="28">
        <f t="shared" si="88"/>
        <v>354.45729533690496</v>
      </c>
      <c r="AA112" s="28">
        <f t="shared" si="89"/>
        <v>-7.7917511202741707</v>
      </c>
      <c r="AB112" s="28">
        <f t="shared" si="90"/>
        <v>129.47153141566611</v>
      </c>
      <c r="AC112" s="22">
        <f t="shared" si="91"/>
        <v>1455.4798176682709</v>
      </c>
      <c r="AD112" s="43">
        <f t="shared" si="92"/>
        <v>0.68029079278847626</v>
      </c>
      <c r="AE112" s="22">
        <f t="shared" si="93"/>
        <v>1063.8863621181142</v>
      </c>
      <c r="AF112" s="22">
        <f t="shared" si="94"/>
        <v>402.33635091216433</v>
      </c>
      <c r="AG112" s="30">
        <f t="shared" si="95"/>
        <v>0.7255967000534006</v>
      </c>
    </row>
    <row r="113" spans="1:33" x14ac:dyDescent="0.2">
      <c r="A113" s="35">
        <f>P2_TaskV_Valuation!A113</f>
        <v>46066</v>
      </c>
      <c r="B113" s="36">
        <f>P2_TaskV_Valuation!B113</f>
        <v>1593.08</v>
      </c>
      <c r="C113" s="45">
        <f>P2_TaskV_Valuation!N113</f>
        <v>1.9662863778084357E-2</v>
      </c>
      <c r="D113" s="37">
        <f>P2_TaskV_Valuation!C113</f>
        <v>0.439</v>
      </c>
      <c r="E113" s="46">
        <f>P2_TaskV_Valuation!D113</f>
        <v>1.3424657534246576</v>
      </c>
      <c r="F113" s="47">
        <f>P2_TaskV_Valuation!O113</f>
        <v>1.3662863778084356E-2</v>
      </c>
      <c r="G113" s="47">
        <f>P2_TaskV_Valuation!P113</f>
        <v>0.50864657913501543</v>
      </c>
      <c r="H113" s="47">
        <f>P2_TaskV_Valuation!Q113</f>
        <v>-0.42910547486737638</v>
      </c>
      <c r="I113" s="36">
        <f>P2_TaskV_Valuation!AB113</f>
        <v>1495.3964098148022</v>
      </c>
      <c r="J113" s="22">
        <f t="shared" si="72"/>
        <v>1609.0108</v>
      </c>
      <c r="K113" s="28">
        <f t="shared" si="73"/>
        <v>-0.13727606798944164</v>
      </c>
      <c r="L113" s="28">
        <f t="shared" si="74"/>
        <v>1.1295308718828005</v>
      </c>
      <c r="M113" s="28">
        <f t="shared" si="75"/>
        <v>-1.8155707172438071</v>
      </c>
      <c r="N113" s="28">
        <f t="shared" si="76"/>
        <v>-0.54876377737156468</v>
      </c>
      <c r="O113" s="28">
        <f t="shared" si="77"/>
        <v>557.88253552465756</v>
      </c>
      <c r="P113" s="28">
        <f t="shared" si="78"/>
        <v>314.31163313295758</v>
      </c>
      <c r="Q113" s="28">
        <f t="shared" si="79"/>
        <v>-5.7815519124471315</v>
      </c>
      <c r="R113" s="28">
        <f t="shared" si="80"/>
        <v>121.98331298019633</v>
      </c>
      <c r="S113" s="22">
        <f t="shared" si="81"/>
        <v>1505.8207556773145</v>
      </c>
      <c r="T113" s="22">
        <f t="shared" si="82"/>
        <v>1577.1491999999998</v>
      </c>
      <c r="U113" s="28">
        <f t="shared" si="83"/>
        <v>-0.17659741119139938</v>
      </c>
      <c r="V113" s="28">
        <f t="shared" si="84"/>
        <v>1.0902095286808429</v>
      </c>
      <c r="W113" s="28">
        <f t="shared" si="85"/>
        <v>-1.7762493740418495</v>
      </c>
      <c r="X113" s="28">
        <f t="shared" si="86"/>
        <v>-0.50944243416960677</v>
      </c>
      <c r="Y113" s="28">
        <f t="shared" si="87"/>
        <v>575.65530677792071</v>
      </c>
      <c r="Z113" s="28">
        <f t="shared" si="88"/>
        <v>330.64595488958344</v>
      </c>
      <c r="AA113" s="28">
        <f t="shared" si="89"/>
        <v>-6.3892844902992181</v>
      </c>
      <c r="AB113" s="28">
        <f t="shared" si="90"/>
        <v>126.10876911841149</v>
      </c>
      <c r="AC113" s="22">
        <f t="shared" si="91"/>
        <v>1484.7532452046214</v>
      </c>
      <c r="AD113" s="43">
        <f t="shared" si="92"/>
        <v>0.66121947650755553</v>
      </c>
      <c r="AE113" s="22">
        <f t="shared" si="93"/>
        <v>1053.3755236346565</v>
      </c>
      <c r="AF113" s="22">
        <f t="shared" si="94"/>
        <v>442.02088618014568</v>
      </c>
      <c r="AG113" s="30">
        <f t="shared" si="95"/>
        <v>0.70441223258327346</v>
      </c>
    </row>
    <row r="114" spans="1:33" x14ac:dyDescent="0.2">
      <c r="A114" s="35">
        <f>P2_TaskV_Valuation!A114</f>
        <v>46069</v>
      </c>
      <c r="B114" s="36">
        <f>P2_TaskV_Valuation!B114</f>
        <v>1603.97</v>
      </c>
      <c r="C114" s="45">
        <f>P2_TaskV_Valuation!N114</f>
        <v>1.9732950870006247E-2</v>
      </c>
      <c r="D114" s="37">
        <f>P2_TaskV_Valuation!C114</f>
        <v>0.42599999999999999</v>
      </c>
      <c r="E114" s="46">
        <f>P2_TaskV_Valuation!D114</f>
        <v>1.3342465753424657</v>
      </c>
      <c r="F114" s="47">
        <f>P2_TaskV_Valuation!O114</f>
        <v>1.3732950870006247E-2</v>
      </c>
      <c r="G114" s="47">
        <f>P2_TaskV_Valuation!P114</f>
        <v>0.49207086024966901</v>
      </c>
      <c r="H114" s="47">
        <f>P2_TaskV_Valuation!Q114</f>
        <v>-0.42432635241020167</v>
      </c>
      <c r="I114" s="36">
        <f>P2_TaskV_Valuation!AB114</f>
        <v>1521.2800235171812</v>
      </c>
      <c r="J114" s="22">
        <f t="shared" si="72"/>
        <v>1620.0097000000001</v>
      </c>
      <c r="K114" s="28">
        <f t="shared" si="73"/>
        <v>-0.14494870763530188</v>
      </c>
      <c r="L114" s="28">
        <f t="shared" si="74"/>
        <v>1.1645314271232912</v>
      </c>
      <c r="M114" s="28">
        <f t="shared" si="75"/>
        <v>-1.9074671078967302</v>
      </c>
      <c r="N114" s="28">
        <f t="shared" si="76"/>
        <v>-0.59798697313813731</v>
      </c>
      <c r="O114" s="28">
        <f t="shared" si="77"/>
        <v>541.38302204541333</v>
      </c>
      <c r="P114" s="28">
        <f t="shared" si="78"/>
        <v>292.03147890615833</v>
      </c>
      <c r="Q114" s="28">
        <f t="shared" si="79"/>
        <v>-4.4351542764734297</v>
      </c>
      <c r="R114" s="28">
        <f t="shared" si="80"/>
        <v>119.80133067986833</v>
      </c>
      <c r="S114" s="22">
        <f t="shared" si="81"/>
        <v>1531.7619444394491</v>
      </c>
      <c r="T114" s="22">
        <f t="shared" si="82"/>
        <v>1587.9303</v>
      </c>
      <c r="U114" s="28">
        <f t="shared" si="83"/>
        <v>-0.18559461521154297</v>
      </c>
      <c r="V114" s="28">
        <f t="shared" si="84"/>
        <v>1.1238855195470501</v>
      </c>
      <c r="W114" s="28">
        <f t="shared" si="85"/>
        <v>-1.8668212003204889</v>
      </c>
      <c r="X114" s="28">
        <f t="shared" si="86"/>
        <v>-0.55734106556189622</v>
      </c>
      <c r="Y114" s="28">
        <f t="shared" si="87"/>
        <v>559.38257864178252</v>
      </c>
      <c r="Z114" s="28">
        <f t="shared" si="88"/>
        <v>308.17956761870062</v>
      </c>
      <c r="AA114" s="28">
        <f t="shared" si="89"/>
        <v>-4.9336825592163187</v>
      </c>
      <c r="AB114" s="28">
        <f t="shared" si="90"/>
        <v>124.3533997580987</v>
      </c>
      <c r="AC114" s="22">
        <f t="shared" si="91"/>
        <v>1510.5632583659335</v>
      </c>
      <c r="AD114" s="43">
        <f t="shared" si="92"/>
        <v>0.66081928195401241</v>
      </c>
      <c r="AE114" s="22">
        <f t="shared" si="93"/>
        <v>1059.9343036757773</v>
      </c>
      <c r="AF114" s="22">
        <f t="shared" si="94"/>
        <v>461.34571984140393</v>
      </c>
      <c r="AG114" s="30">
        <f t="shared" si="95"/>
        <v>0.69673846188108213</v>
      </c>
    </row>
    <row r="115" spans="1:33" x14ac:dyDescent="0.2">
      <c r="A115" s="35">
        <f>P2_TaskV_Valuation!A115</f>
        <v>46070</v>
      </c>
      <c r="B115" s="36">
        <f>P2_TaskV_Valuation!B115</f>
        <v>1595.55</v>
      </c>
      <c r="C115" s="45">
        <f>P2_TaskV_Valuation!N115</f>
        <v>1.9755054502936499E-2</v>
      </c>
      <c r="D115" s="37">
        <f>P2_TaskV_Valuation!C115</f>
        <v>0.41399999999999998</v>
      </c>
      <c r="E115" s="46">
        <f>P2_TaskV_Valuation!D115</f>
        <v>1.3315068493150686</v>
      </c>
      <c r="F115" s="47">
        <f>P2_TaskV_Valuation!O115</f>
        <v>1.3755054502936499E-2</v>
      </c>
      <c r="G115" s="47">
        <f>P2_TaskV_Valuation!P115</f>
        <v>0.47771848189619531</v>
      </c>
      <c r="H115" s="47">
        <f>P2_TaskV_Valuation!Q115</f>
        <v>-0.41974693398366064</v>
      </c>
      <c r="I115" s="36">
        <f>P2_TaskV_Valuation!AB115</f>
        <v>1532.2892175317675</v>
      </c>
      <c r="J115" s="22">
        <f t="shared" si="72"/>
        <v>1611.5055</v>
      </c>
      <c r="K115" s="28">
        <f t="shared" si="73"/>
        <v>-0.17490619524601519</v>
      </c>
      <c r="L115" s="28">
        <f t="shared" si="74"/>
        <v>1.1739154241999898</v>
      </c>
      <c r="M115" s="28">
        <f t="shared" si="75"/>
        <v>-1.9683418160201187</v>
      </c>
      <c r="N115" s="28">
        <f t="shared" si="76"/>
        <v>-0.61952019657411306</v>
      </c>
      <c r="O115" s="28">
        <f t="shared" si="77"/>
        <v>537.09649866844416</v>
      </c>
      <c r="P115" s="28">
        <f t="shared" si="78"/>
        <v>281.49576975784748</v>
      </c>
      <c r="Q115" s="28">
        <f t="shared" si="79"/>
        <v>-3.6824553271582445</v>
      </c>
      <c r="R115" s="28">
        <f t="shared" si="80"/>
        <v>119.94580061999181</v>
      </c>
      <c r="S115" s="22">
        <f t="shared" si="81"/>
        <v>1542.9538665550124</v>
      </c>
      <c r="T115" s="22">
        <f t="shared" si="82"/>
        <v>1579.5944999999999</v>
      </c>
      <c r="U115" s="28">
        <f t="shared" si="83"/>
        <v>-0.21677325181724399</v>
      </c>
      <c r="V115" s="28">
        <f t="shared" si="84"/>
        <v>1.1320483676287612</v>
      </c>
      <c r="W115" s="28">
        <f t="shared" si="85"/>
        <v>-1.9264747594488894</v>
      </c>
      <c r="X115" s="28">
        <f t="shared" si="86"/>
        <v>-0.57765314000288415</v>
      </c>
      <c r="Y115" s="28">
        <f t="shared" si="87"/>
        <v>555.38160393290877</v>
      </c>
      <c r="Z115" s="28">
        <f t="shared" si="88"/>
        <v>297.73997918628504</v>
      </c>
      <c r="AA115" s="28">
        <f t="shared" si="89"/>
        <v>-4.1186874943523506</v>
      </c>
      <c r="AB115" s="28">
        <f t="shared" si="90"/>
        <v>124.84269727659716</v>
      </c>
      <c r="AC115" s="22">
        <f t="shared" si="91"/>
        <v>1521.3765283027756</v>
      </c>
      <c r="AD115" s="43">
        <f t="shared" si="92"/>
        <v>0.67617242493926277</v>
      </c>
      <c r="AE115" s="22">
        <f t="shared" si="93"/>
        <v>1078.8669126118407</v>
      </c>
      <c r="AF115" s="22">
        <f t="shared" si="94"/>
        <v>453.42230491992677</v>
      </c>
      <c r="AG115" s="30">
        <f t="shared" si="95"/>
        <v>0.70408830152162416</v>
      </c>
    </row>
    <row r="116" spans="1:33" x14ac:dyDescent="0.2">
      <c r="A116" s="35">
        <f>P2_TaskV_Valuation!A116</f>
        <v>46071</v>
      </c>
      <c r="B116" s="36">
        <f>P2_TaskV_Valuation!B116</f>
        <v>1677.23</v>
      </c>
      <c r="C116" s="45">
        <f>P2_TaskV_Valuation!N116</f>
        <v>1.9796311273649576E-2</v>
      </c>
      <c r="D116" s="37">
        <f>P2_TaskV_Valuation!C116</f>
        <v>0.44600000000000001</v>
      </c>
      <c r="E116" s="46">
        <f>P2_TaskV_Valuation!D116</f>
        <v>1.3287671232876712</v>
      </c>
      <c r="F116" s="47">
        <f>P2_TaskV_Valuation!O116</f>
        <v>1.3796311273649576E-2</v>
      </c>
      <c r="G116" s="47">
        <f>P2_TaskV_Valuation!P116</f>
        <v>0.51411384059942444</v>
      </c>
      <c r="H116" s="47">
        <f>P2_TaskV_Valuation!Q116</f>
        <v>-0.43064252612334059</v>
      </c>
      <c r="I116" s="36">
        <f>P2_TaskV_Valuation!AB116</f>
        <v>1541.9829249495522</v>
      </c>
      <c r="J116" s="22">
        <f t="shared" si="72"/>
        <v>1694.0023000000001</v>
      </c>
      <c r="K116" s="28">
        <f t="shared" si="73"/>
        <v>-3.027465899122106E-2</v>
      </c>
      <c r="L116" s="28">
        <f t="shared" si="74"/>
        <v>1.2230606249591849</v>
      </c>
      <c r="M116" s="28">
        <f t="shared" si="75"/>
        <v>-1.8909667937721588</v>
      </c>
      <c r="N116" s="28">
        <f t="shared" si="76"/>
        <v>-0.6376315098217531</v>
      </c>
      <c r="O116" s="28">
        <f t="shared" si="77"/>
        <v>516.55095835378995</v>
      </c>
      <c r="P116" s="28">
        <f t="shared" si="78"/>
        <v>279.97989781472114</v>
      </c>
      <c r="Q116" s="28">
        <f t="shared" si="79"/>
        <v>-4.7979324999373461</v>
      </c>
      <c r="R116" s="28">
        <f t="shared" si="80"/>
        <v>111.54229543812144</v>
      </c>
      <c r="S116" s="22">
        <f t="shared" si="81"/>
        <v>1551.7564083008967</v>
      </c>
      <c r="T116" s="22">
        <f t="shared" si="82"/>
        <v>1660.4576999999999</v>
      </c>
      <c r="U116" s="28">
        <f t="shared" si="83"/>
        <v>-6.9177845653828784E-2</v>
      </c>
      <c r="V116" s="28">
        <f t="shared" si="84"/>
        <v>1.1841574382965767</v>
      </c>
      <c r="W116" s="28">
        <f t="shared" si="85"/>
        <v>-1.8520636071095513</v>
      </c>
      <c r="X116" s="28">
        <f t="shared" si="86"/>
        <v>-0.59872832315914537</v>
      </c>
      <c r="Y116" s="28">
        <f t="shared" si="87"/>
        <v>533.84906808345738</v>
      </c>
      <c r="Z116" s="28">
        <f t="shared" si="88"/>
        <v>295.10865736527393</v>
      </c>
      <c r="AA116" s="28">
        <f t="shared" si="89"/>
        <v>-5.3092557693340154</v>
      </c>
      <c r="AB116" s="28">
        <f t="shared" si="90"/>
        <v>115.670791272656</v>
      </c>
      <c r="AC116" s="22">
        <f t="shared" si="91"/>
        <v>1531.9878296464128</v>
      </c>
      <c r="AD116" s="43">
        <f t="shared" si="92"/>
        <v>0.58932223530714078</v>
      </c>
      <c r="AE116" s="22">
        <f t="shared" si="93"/>
        <v>988.42893272419576</v>
      </c>
      <c r="AF116" s="22">
        <f t="shared" si="94"/>
        <v>553.55399222535641</v>
      </c>
      <c r="AG116" s="30">
        <f t="shared" si="95"/>
        <v>0.64101159405285468</v>
      </c>
    </row>
    <row r="117" spans="1:33" x14ac:dyDescent="0.2">
      <c r="A117" s="35">
        <f>P2_TaskV_Valuation!A117</f>
        <v>46072</v>
      </c>
      <c r="B117" s="36">
        <f>P2_TaskV_Valuation!B117</f>
        <v>1726.24</v>
      </c>
      <c r="C117" s="45">
        <f>P2_TaskV_Valuation!N117</f>
        <v>1.9813575070908383E-2</v>
      </c>
      <c r="D117" s="37">
        <f>P2_TaskV_Valuation!C117</f>
        <v>0.44600000000000001</v>
      </c>
      <c r="E117" s="46">
        <f>P2_TaskV_Valuation!D117</f>
        <v>1.3260273972602741</v>
      </c>
      <c r="F117" s="47">
        <f>P2_TaskV_Valuation!O117</f>
        <v>1.3813575070908383E-2</v>
      </c>
      <c r="G117" s="47">
        <f>P2_TaskV_Valuation!P117</f>
        <v>0.51358355284551771</v>
      </c>
      <c r="H117" s="47">
        <f>P2_TaskV_Valuation!Q117</f>
        <v>-0.43055573673858116</v>
      </c>
      <c r="I117" s="36">
        <f>P2_TaskV_Valuation!AB117</f>
        <v>1570.5750555003578</v>
      </c>
      <c r="J117" s="22">
        <f t="shared" si="72"/>
        <v>1743.5024000000001</v>
      </c>
      <c r="K117" s="28">
        <f t="shared" si="73"/>
        <v>2.5214972164148419E-2</v>
      </c>
      <c r="L117" s="28">
        <f t="shared" si="74"/>
        <v>1.2798443558748285</v>
      </c>
      <c r="M117" s="28">
        <f t="shared" si="75"/>
        <v>-1.9495593238389124</v>
      </c>
      <c r="N117" s="28">
        <f t="shared" si="76"/>
        <v>-0.6949299401282325</v>
      </c>
      <c r="O117" s="28">
        <f t="shared" si="77"/>
        <v>491.61798833226067</v>
      </c>
      <c r="P117" s="28">
        <f t="shared" si="78"/>
        <v>258.53271293922785</v>
      </c>
      <c r="Q117" s="28">
        <f t="shared" si="79"/>
        <v>-4.1063495204738629</v>
      </c>
      <c r="R117" s="28">
        <f t="shared" si="80"/>
        <v>105.5116672612331</v>
      </c>
      <c r="S117" s="22">
        <f t="shared" si="81"/>
        <v>1579.9868661923399</v>
      </c>
      <c r="T117" s="22">
        <f t="shared" si="82"/>
        <v>1708.9775999999999</v>
      </c>
      <c r="U117" s="28">
        <f t="shared" si="83"/>
        <v>-1.3728383003390854E-2</v>
      </c>
      <c r="V117" s="28">
        <f t="shared" si="84"/>
        <v>1.2409010007072891</v>
      </c>
      <c r="W117" s="28">
        <f t="shared" si="85"/>
        <v>-1.9106159686713737</v>
      </c>
      <c r="X117" s="28">
        <f t="shared" si="86"/>
        <v>-0.6559865849606934</v>
      </c>
      <c r="Y117" s="28">
        <f t="shared" si="87"/>
        <v>508.66423144758085</v>
      </c>
      <c r="Z117" s="28">
        <f t="shared" si="88"/>
        <v>272.96480878482032</v>
      </c>
      <c r="AA117" s="28">
        <f t="shared" si="89"/>
        <v>-4.5530660167569188</v>
      </c>
      <c r="AB117" s="28">
        <f t="shared" si="90"/>
        <v>109.68095750574062</v>
      </c>
      <c r="AC117" s="22">
        <f t="shared" si="91"/>
        <v>1560.9387636059569</v>
      </c>
      <c r="AD117" s="43">
        <f t="shared" si="92"/>
        <v>0.55172231515846692</v>
      </c>
      <c r="AE117" s="22">
        <f t="shared" si="93"/>
        <v>952.40512931915191</v>
      </c>
      <c r="AF117" s="22">
        <f t="shared" si="94"/>
        <v>618.16992618120594</v>
      </c>
      <c r="AG117" s="30">
        <f t="shared" si="95"/>
        <v>0.60640535833273645</v>
      </c>
    </row>
    <row r="118" spans="1:33" x14ac:dyDescent="0.2">
      <c r="A118" s="35">
        <f>P2_TaskV_Valuation!A118</f>
        <v>46073</v>
      </c>
      <c r="B118" s="36">
        <f>P2_TaskV_Valuation!B118</f>
        <v>1722.78</v>
      </c>
      <c r="C118" s="45">
        <f>P2_TaskV_Valuation!N118</f>
        <v>1.9744999904210594E-2</v>
      </c>
      <c r="D118" s="37">
        <f>P2_TaskV_Valuation!C118</f>
        <v>0.433</v>
      </c>
      <c r="E118" s="46">
        <f>P2_TaskV_Valuation!D118</f>
        <v>1.3232876712328767</v>
      </c>
      <c r="F118" s="47">
        <f>P2_TaskV_Valuation!O118</f>
        <v>1.3744999904210594E-2</v>
      </c>
      <c r="G118" s="47">
        <f>P2_TaskV_Valuation!P118</f>
        <v>0.49809826559804526</v>
      </c>
      <c r="H118" s="47">
        <f>P2_TaskV_Valuation!Q118</f>
        <v>-0.42668903293414234</v>
      </c>
      <c r="I118" s="36">
        <f>P2_TaskV_Valuation!AB118</f>
        <v>1586.6893305590261</v>
      </c>
      <c r="J118" s="22">
        <f t="shared" si="72"/>
        <v>1740.0078000000001</v>
      </c>
      <c r="K118" s="28">
        <f t="shared" si="73"/>
        <v>5.9866609286716166E-3</v>
      </c>
      <c r="L118" s="28">
        <f t="shared" si="74"/>
        <v>1.299620991529806</v>
      </c>
      <c r="M118" s="28">
        <f t="shared" si="75"/>
        <v>-2.0221249254432569</v>
      </c>
      <c r="N118" s="28">
        <f t="shared" si="76"/>
        <v>-0.72849059484212253</v>
      </c>
      <c r="O118" s="28">
        <f t="shared" si="77"/>
        <v>482.83672289384879</v>
      </c>
      <c r="P118" s="28">
        <f t="shared" si="78"/>
        <v>244.71063856936698</v>
      </c>
      <c r="Q118" s="28">
        <f t="shared" si="79"/>
        <v>-3.2944556729670929</v>
      </c>
      <c r="R118" s="28">
        <f t="shared" si="80"/>
        <v>104.24233867121157</v>
      </c>
      <c r="S118" s="22">
        <f t="shared" si="81"/>
        <v>1596.1727188449161</v>
      </c>
      <c r="T118" s="22">
        <f t="shared" si="82"/>
        <v>1705.5521999999999</v>
      </c>
      <c r="U118" s="28">
        <f t="shared" si="83"/>
        <v>-3.4167397192080395E-2</v>
      </c>
      <c r="V118" s="28">
        <f t="shared" si="84"/>
        <v>1.259466933409054</v>
      </c>
      <c r="W118" s="28">
        <f t="shared" si="85"/>
        <v>-1.9819708673225052</v>
      </c>
      <c r="X118" s="28">
        <f t="shared" si="86"/>
        <v>-0.68833653672137052</v>
      </c>
      <c r="Y118" s="28">
        <f t="shared" si="87"/>
        <v>500.11950027534238</v>
      </c>
      <c r="Z118" s="28">
        <f t="shared" si="88"/>
        <v>259.06562980953089</v>
      </c>
      <c r="AA118" s="28">
        <f t="shared" si="89"/>
        <v>-3.6738538277601549</v>
      </c>
      <c r="AB118" s="28">
        <f t="shared" si="90"/>
        <v>108.7116701124167</v>
      </c>
      <c r="AC118" s="22">
        <f t="shared" si="91"/>
        <v>1576.9689980087542</v>
      </c>
      <c r="AD118" s="43">
        <f t="shared" si="92"/>
        <v>0.55734687064401411</v>
      </c>
      <c r="AE118" s="22">
        <f t="shared" si="93"/>
        <v>960.18604180809461</v>
      </c>
      <c r="AF118" s="22">
        <f t="shared" si="94"/>
        <v>626.50328875093146</v>
      </c>
      <c r="AG118" s="30">
        <f t="shared" si="95"/>
        <v>0.60515062609628789</v>
      </c>
    </row>
    <row r="119" spans="1:33" x14ac:dyDescent="0.2">
      <c r="A119" s="35">
        <f>P2_TaskV_Valuation!A119</f>
        <v>46076</v>
      </c>
      <c r="B119" s="36">
        <f>P2_TaskV_Valuation!B119</f>
        <v>1684.66</v>
      </c>
      <c r="C119" s="45">
        <f>P2_TaskV_Valuation!N119</f>
        <v>1.9752761985125593E-2</v>
      </c>
      <c r="D119" s="37">
        <f>P2_TaskV_Valuation!C119</f>
        <v>0.42799999999999999</v>
      </c>
      <c r="E119" s="46">
        <f>P2_TaskV_Valuation!D119</f>
        <v>1.3150684931506849</v>
      </c>
      <c r="F119" s="47">
        <f>P2_TaskV_Valuation!O119</f>
        <v>1.3752761985125593E-2</v>
      </c>
      <c r="G119" s="47">
        <f>P2_TaskV_Valuation!P119</f>
        <v>0.49081514529333248</v>
      </c>
      <c r="H119" s="47">
        <f>P2_TaskV_Valuation!Q119</f>
        <v>-0.42492378163417333</v>
      </c>
      <c r="I119" s="36">
        <f>P2_TaskV_Valuation!AB119</f>
        <v>1573.5242023422729</v>
      </c>
      <c r="J119" s="22">
        <f t="shared" si="72"/>
        <v>1701.5066000000002</v>
      </c>
      <c r="K119" s="28">
        <f t="shared" si="73"/>
        <v>-4.7059487659836974E-2</v>
      </c>
      <c r="L119" s="28">
        <f t="shared" si="74"/>
        <v>1.2657708570627522</v>
      </c>
      <c r="M119" s="28">
        <f t="shared" si="75"/>
        <v>-2.0140889664414137</v>
      </c>
      <c r="N119" s="28">
        <f t="shared" si="76"/>
        <v>-0.70125862171882503</v>
      </c>
      <c r="O119" s="28">
        <f t="shared" si="77"/>
        <v>497.45025498623613</v>
      </c>
      <c r="P119" s="28">
        <f t="shared" si="78"/>
        <v>253.58931117254096</v>
      </c>
      <c r="Q119" s="28">
        <f t="shared" si="79"/>
        <v>-3.3288426550329611</v>
      </c>
      <c r="R119" s="28">
        <f t="shared" si="80"/>
        <v>108.44925825889018</v>
      </c>
      <c r="S119" s="22">
        <f t="shared" si="81"/>
        <v>1583.3490779463311</v>
      </c>
      <c r="T119" s="22">
        <f t="shared" si="82"/>
        <v>1667.8134</v>
      </c>
      <c r="U119" s="28">
        <f t="shared" si="83"/>
        <v>-8.7809384843055172E-2</v>
      </c>
      <c r="V119" s="28">
        <f t="shared" si="84"/>
        <v>1.2250209598795339</v>
      </c>
      <c r="W119" s="28">
        <f t="shared" si="85"/>
        <v>-1.9733390692581956</v>
      </c>
      <c r="X119" s="28">
        <f t="shared" si="86"/>
        <v>-0.66050872453560694</v>
      </c>
      <c r="Y119" s="28">
        <f t="shared" si="87"/>
        <v>515.06211016731891</v>
      </c>
      <c r="Z119" s="28">
        <f t="shared" si="88"/>
        <v>268.46873239029242</v>
      </c>
      <c r="AA119" s="28">
        <f t="shared" si="89"/>
        <v>-3.7173327242046632</v>
      </c>
      <c r="AB119" s="28">
        <f t="shared" si="90"/>
        <v>113.07301352711863</v>
      </c>
      <c r="AC119" s="22">
        <f t="shared" si="91"/>
        <v>1563.4574113911794</v>
      </c>
      <c r="AD119" s="43">
        <f t="shared" si="92"/>
        <v>0.59037629418255566</v>
      </c>
      <c r="AE119" s="22">
        <f t="shared" si="93"/>
        <v>994.58332775758424</v>
      </c>
      <c r="AF119" s="22">
        <f t="shared" si="94"/>
        <v>578.94087458468869</v>
      </c>
      <c r="AG119" s="30">
        <f t="shared" si="95"/>
        <v>0.63207374012874729</v>
      </c>
    </row>
    <row r="120" spans="1:33" x14ac:dyDescent="0.2">
      <c r="A120" s="35">
        <f>P2_TaskV_Valuation!A120</f>
        <v>46077</v>
      </c>
      <c r="B120" s="36">
        <f>P2_TaskV_Valuation!B120</f>
        <v>1707.43</v>
      </c>
      <c r="C120" s="45">
        <f>P2_TaskV_Valuation!N120</f>
        <v>1.9770508610233842E-2</v>
      </c>
      <c r="D120" s="37">
        <f>P2_TaskV_Valuation!C120</f>
        <v>0.41899999999999998</v>
      </c>
      <c r="E120" s="46">
        <f>P2_TaskV_Valuation!D120</f>
        <v>1.3123287671232877</v>
      </c>
      <c r="F120" s="47">
        <f>P2_TaskV_Valuation!O120</f>
        <v>1.3770508610233842E-2</v>
      </c>
      <c r="G120" s="47">
        <f>P2_TaskV_Valuation!P120</f>
        <v>0.47999349025266114</v>
      </c>
      <c r="H120" s="47">
        <f>P2_TaskV_Valuation!Q120</f>
        <v>-0.42156282653759186</v>
      </c>
      <c r="I120" s="36">
        <f>P2_TaskV_Valuation!AB120</f>
        <v>1599.673918047811</v>
      </c>
      <c r="J120" s="22">
        <f t="shared" si="72"/>
        <v>1724.5043000000001</v>
      </c>
      <c r="K120" s="28">
        <f t="shared" si="73"/>
        <v>-3.1123804938411159E-2</v>
      </c>
      <c r="L120" s="28">
        <f t="shared" si="74"/>
        <v>1.3113048518571919</v>
      </c>
      <c r="M120" s="28">
        <f t="shared" si="75"/>
        <v>-2.0984413530885844</v>
      </c>
      <c r="N120" s="28">
        <f t="shared" si="76"/>
        <v>-0.7560126962929814</v>
      </c>
      <c r="O120" s="28">
        <f t="shared" si="77"/>
        <v>478.38148875615695</v>
      </c>
      <c r="P120" s="28">
        <f t="shared" si="78"/>
        <v>233.07135775595614</v>
      </c>
      <c r="Q120" s="28">
        <f t="shared" si="79"/>
        <v>-2.5894386467614172</v>
      </c>
      <c r="R120" s="28">
        <f t="shared" si="80"/>
        <v>103.78821169414408</v>
      </c>
      <c r="S120" s="22">
        <f t="shared" si="81"/>
        <v>1609.3275574056765</v>
      </c>
      <c r="T120" s="22">
        <f t="shared" si="82"/>
        <v>1690.3557000000001</v>
      </c>
      <c r="U120" s="28">
        <f t="shared" si="83"/>
        <v>-7.279242568604144E-2</v>
      </c>
      <c r="V120" s="28">
        <f t="shared" si="84"/>
        <v>1.2696362311095619</v>
      </c>
      <c r="W120" s="28">
        <f t="shared" si="85"/>
        <v>-2.0567727323409546</v>
      </c>
      <c r="X120" s="28">
        <f t="shared" si="86"/>
        <v>-0.71434407554535129</v>
      </c>
      <c r="Y120" s="28">
        <f t="shared" si="87"/>
        <v>496.02286050106432</v>
      </c>
      <c r="Z120" s="28">
        <f t="shared" si="88"/>
        <v>247.48649190539763</v>
      </c>
      <c r="AA120" s="28">
        <f t="shared" si="89"/>
        <v>-2.9076381271154901</v>
      </c>
      <c r="AB120" s="28">
        <f t="shared" si="90"/>
        <v>108.61472236577399</v>
      </c>
      <c r="AC120" s="22">
        <f t="shared" si="91"/>
        <v>1589.767713104251</v>
      </c>
      <c r="AD120" s="43">
        <f t="shared" si="92"/>
        <v>0.57278612597370104</v>
      </c>
      <c r="AE120" s="22">
        <f t="shared" si="93"/>
        <v>977.99221507127641</v>
      </c>
      <c r="AF120" s="22">
        <f t="shared" si="94"/>
        <v>621.68170297653455</v>
      </c>
      <c r="AG120" s="30">
        <f t="shared" si="95"/>
        <v>0.61136973231693725</v>
      </c>
    </row>
    <row r="121" spans="1:33" x14ac:dyDescent="0.2">
      <c r="A121" s="35">
        <f>P2_TaskV_Valuation!A121</f>
        <v>46078</v>
      </c>
      <c r="B121" s="36">
        <f>P2_TaskV_Valuation!B121</f>
        <v>1665.35</v>
      </c>
      <c r="C121" s="45">
        <f>P2_TaskV_Valuation!N121</f>
        <v>1.9803106291433573E-2</v>
      </c>
      <c r="D121" s="37">
        <f>P2_TaskV_Valuation!C121</f>
        <v>0.41699999999999998</v>
      </c>
      <c r="E121" s="46">
        <f>P2_TaskV_Valuation!D121</f>
        <v>1.3095890410958904</v>
      </c>
      <c r="F121" s="47">
        <f>P2_TaskV_Valuation!O121</f>
        <v>1.3803106291433572E-2</v>
      </c>
      <c r="G121" s="47">
        <f>P2_TaskV_Valuation!P121</f>
        <v>0.47720344588772956</v>
      </c>
      <c r="H121" s="47">
        <f>P2_TaskV_Valuation!Q121</f>
        <v>-0.42062116470027677</v>
      </c>
      <c r="I121" s="36">
        <f>P2_TaskV_Valuation!AB121</f>
        <v>1578.1544026902077</v>
      </c>
      <c r="J121" s="22">
        <f t="shared" si="72"/>
        <v>1682.0035</v>
      </c>
      <c r="K121" s="28">
        <f t="shared" si="73"/>
        <v>-8.6385748876222801E-2</v>
      </c>
      <c r="L121" s="28">
        <f t="shared" si="74"/>
        <v>1.2638916264093478</v>
      </c>
      <c r="M121" s="28">
        <f t="shared" si="75"/>
        <v>-2.0612058483360243</v>
      </c>
      <c r="N121" s="28">
        <f t="shared" si="76"/>
        <v>-0.71092847305045348</v>
      </c>
      <c r="O121" s="28">
        <f t="shared" si="77"/>
        <v>498.57409222859962</v>
      </c>
      <c r="P121" s="28">
        <f t="shared" si="78"/>
        <v>248.30390070187022</v>
      </c>
      <c r="Q121" s="28">
        <f t="shared" si="79"/>
        <v>-2.8585343704936896</v>
      </c>
      <c r="R121" s="28">
        <f t="shared" si="80"/>
        <v>109.43746954282514</v>
      </c>
      <c r="S121" s="22">
        <f t="shared" si="81"/>
        <v>1588.1990255866401</v>
      </c>
      <c r="T121" s="22">
        <f t="shared" si="82"/>
        <v>1648.6964999999998</v>
      </c>
      <c r="U121" s="28">
        <f t="shared" si="83"/>
        <v>-0.12829799171315981</v>
      </c>
      <c r="V121" s="28">
        <f t="shared" si="84"/>
        <v>1.2219793835724106</v>
      </c>
      <c r="W121" s="28">
        <f t="shared" si="85"/>
        <v>-2.0192936054990871</v>
      </c>
      <c r="X121" s="28">
        <f t="shared" si="86"/>
        <v>-0.66901623021351631</v>
      </c>
      <c r="Y121" s="28">
        <f t="shared" si="87"/>
        <v>516.50866729836116</v>
      </c>
      <c r="Z121" s="28">
        <f t="shared" si="88"/>
        <v>263.38269400620788</v>
      </c>
      <c r="AA121" s="28">
        <f t="shared" si="89"/>
        <v>-3.2078435544612312</v>
      </c>
      <c r="AB121" s="28">
        <f t="shared" si="90"/>
        <v>114.35240564908989</v>
      </c>
      <c r="AC121" s="22">
        <f t="shared" si="91"/>
        <v>1567.85598699207</v>
      </c>
      <c r="AD121" s="43">
        <f t="shared" si="92"/>
        <v>0.61077366903564079</v>
      </c>
      <c r="AE121" s="22">
        <f t="shared" si="93"/>
        <v>1017.1519297285043</v>
      </c>
      <c r="AF121" s="22">
        <f t="shared" si="94"/>
        <v>561.00247296170335</v>
      </c>
      <c r="AG121" s="30">
        <f t="shared" si="95"/>
        <v>0.64451990755442679</v>
      </c>
    </row>
    <row r="122" spans="1:33" x14ac:dyDescent="0.2">
      <c r="A122" s="35">
        <f>P2_TaskV_Valuation!A122</f>
        <v>46079</v>
      </c>
      <c r="B122" s="36">
        <f>P2_TaskV_Valuation!B122</f>
        <v>1657.43</v>
      </c>
      <c r="C122" s="45">
        <f>P2_TaskV_Valuation!N122</f>
        <v>1.9690625660516946E-2</v>
      </c>
      <c r="D122" s="37">
        <f>P2_TaskV_Valuation!C122</f>
        <v>0.40500000000000003</v>
      </c>
      <c r="E122" s="46">
        <f>P2_TaskV_Valuation!D122</f>
        <v>1.3068493150684932</v>
      </c>
      <c r="F122" s="47">
        <f>P2_TaskV_Valuation!O122</f>
        <v>1.3690625660516946E-2</v>
      </c>
      <c r="G122" s="47">
        <f>P2_TaskV_Valuation!P122</f>
        <v>0.46298591652890436</v>
      </c>
      <c r="H122" s="47">
        <f>P2_TaskV_Valuation!Q122</f>
        <v>-0.4165332988232468</v>
      </c>
      <c r="I122" s="36">
        <f>P2_TaskV_Valuation!AB122</f>
        <v>1590.684600053964</v>
      </c>
      <c r="J122" s="22">
        <f t="shared" si="72"/>
        <v>1674.0043000000001</v>
      </c>
      <c r="K122" s="28">
        <f t="shared" si="73"/>
        <v>-0.11416994273857212</v>
      </c>
      <c r="L122" s="28">
        <f t="shared" si="74"/>
        <v>1.2775722105031151</v>
      </c>
      <c r="M122" s="28">
        <f t="shared" si="75"/>
        <v>-2.1290406329279707</v>
      </c>
      <c r="N122" s="28">
        <f t="shared" si="76"/>
        <v>-0.73729847968628393</v>
      </c>
      <c r="O122" s="28">
        <f t="shared" si="77"/>
        <v>493.72937882806332</v>
      </c>
      <c r="P122" s="28">
        <f t="shared" si="78"/>
        <v>237.50260823455577</v>
      </c>
      <c r="Q122" s="28">
        <f t="shared" si="79"/>
        <v>-2.308393794713071</v>
      </c>
      <c r="R122" s="28">
        <f t="shared" si="80"/>
        <v>108.52457271499554</v>
      </c>
      <c r="S122" s="22">
        <f t="shared" si="81"/>
        <v>1600.8555913357004</v>
      </c>
      <c r="T122" s="22">
        <f t="shared" si="82"/>
        <v>1640.8557000000001</v>
      </c>
      <c r="U122" s="28">
        <f t="shared" si="83"/>
        <v>-0.1573692410166242</v>
      </c>
      <c r="V122" s="28">
        <f t="shared" si="84"/>
        <v>1.2343729122250626</v>
      </c>
      <c r="W122" s="28">
        <f t="shared" si="85"/>
        <v>-2.0858413346499187</v>
      </c>
      <c r="X122" s="28">
        <f t="shared" si="86"/>
        <v>-0.6940991814082319</v>
      </c>
      <c r="Y122" s="28">
        <f t="shared" si="87"/>
        <v>511.9491401958212</v>
      </c>
      <c r="Z122" s="28">
        <f t="shared" si="88"/>
        <v>252.593095842449</v>
      </c>
      <c r="AA122" s="28">
        <f t="shared" si="89"/>
        <v>-2.6062987798678243</v>
      </c>
      <c r="AB122" s="28">
        <f t="shared" si="90"/>
        <v>113.74607073771102</v>
      </c>
      <c r="AC122" s="22">
        <f t="shared" si="91"/>
        <v>1580.2457007199368</v>
      </c>
      <c r="AD122" s="43">
        <f t="shared" si="92"/>
        <v>0.62174241493648474</v>
      </c>
      <c r="AE122" s="22">
        <f t="shared" si="93"/>
        <v>1030.4945307881781</v>
      </c>
      <c r="AF122" s="22">
        <f t="shared" si="94"/>
        <v>560.19006926578595</v>
      </c>
      <c r="AG122" s="30">
        <f t="shared" si="95"/>
        <v>0.64783083381408135</v>
      </c>
    </row>
    <row r="123" spans="1:33" x14ac:dyDescent="0.2">
      <c r="A123" s="35">
        <f>P2_TaskV_Valuation!A123</f>
        <v>46080</v>
      </c>
      <c r="B123" s="36">
        <f>P2_TaskV_Valuation!B123</f>
        <v>1647.04</v>
      </c>
      <c r="C123" s="45">
        <f>P2_TaskV_Valuation!N123</f>
        <v>1.954301008629555E-2</v>
      </c>
      <c r="D123" s="37">
        <f>P2_TaskV_Valuation!C123</f>
        <v>0.39300000000000002</v>
      </c>
      <c r="E123" s="46">
        <f>P2_TaskV_Valuation!D123</f>
        <v>1.3041095890410959</v>
      </c>
      <c r="F123" s="47">
        <f>P2_TaskV_Valuation!O123</f>
        <v>1.354301008629555E-2</v>
      </c>
      <c r="G123" s="47">
        <f>P2_TaskV_Valuation!P123</f>
        <v>0.44879663759637084</v>
      </c>
      <c r="H123" s="47">
        <f>P2_TaskV_Valuation!Q123</f>
        <v>-0.41231403190505894</v>
      </c>
      <c r="I123" s="36">
        <f>P2_TaskV_Valuation!AB123</f>
        <v>1601.9785797196898</v>
      </c>
      <c r="J123" s="22">
        <f t="shared" si="72"/>
        <v>1663.5103999999999</v>
      </c>
      <c r="K123" s="28">
        <f t="shared" si="73"/>
        <v>-0.14671752511395081</v>
      </c>
      <c r="L123" s="28">
        <f t="shared" si="74"/>
        <v>1.289026333934346</v>
      </c>
      <c r="M123" s="28">
        <f t="shared" si="75"/>
        <v>-2.1972672200954877</v>
      </c>
      <c r="N123" s="28">
        <f t="shared" si="76"/>
        <v>-0.76152336104719054</v>
      </c>
      <c r="O123" s="28">
        <f t="shared" si="77"/>
        <v>490.51351783799907</v>
      </c>
      <c r="P123" s="28">
        <f t="shared" si="78"/>
        <v>227.79467828458053</v>
      </c>
      <c r="Q123" s="28">
        <f t="shared" si="79"/>
        <v>-1.8534121757052926</v>
      </c>
      <c r="R123" s="28">
        <f t="shared" si="80"/>
        <v>107.72416632274002</v>
      </c>
      <c r="S123" s="22">
        <f t="shared" si="81"/>
        <v>1612.2993540786629</v>
      </c>
      <c r="T123" s="22">
        <f t="shared" si="82"/>
        <v>1630.5696</v>
      </c>
      <c r="U123" s="28">
        <f t="shared" si="83"/>
        <v>-0.19128262438427374</v>
      </c>
      <c r="V123" s="28">
        <f t="shared" si="84"/>
        <v>1.2444612346640229</v>
      </c>
      <c r="W123" s="28">
        <f t="shared" si="85"/>
        <v>-2.1527021208251647</v>
      </c>
      <c r="X123" s="28">
        <f t="shared" si="86"/>
        <v>-0.71695826177686728</v>
      </c>
      <c r="Y123" s="28">
        <f t="shared" si="87"/>
        <v>509.04756696523907</v>
      </c>
      <c r="Z123" s="28">
        <f t="shared" si="88"/>
        <v>242.93234934533265</v>
      </c>
      <c r="AA123" s="28">
        <f t="shared" si="89"/>
        <v>-2.1062184027691657</v>
      </c>
      <c r="AB123" s="28">
        <f t="shared" si="90"/>
        <v>113.25838385304425</v>
      </c>
      <c r="AC123" s="22">
        <f t="shared" si="91"/>
        <v>1591.3746592605426</v>
      </c>
      <c r="AD123" s="43">
        <f t="shared" si="92"/>
        <v>0.63522120950676098</v>
      </c>
      <c r="AE123" s="22">
        <f t="shared" si="93"/>
        <v>1046.2347409060155</v>
      </c>
      <c r="AF123" s="22">
        <f t="shared" si="94"/>
        <v>555.7438388136743</v>
      </c>
      <c r="AG123" s="30">
        <f t="shared" si="95"/>
        <v>0.65308909504213408</v>
      </c>
    </row>
    <row r="124" spans="1:33" x14ac:dyDescent="0.2">
      <c r="A124" s="35">
        <f>P2_TaskV_Valuation!A124</f>
        <v>46083</v>
      </c>
      <c r="B124" s="36">
        <f>P2_TaskV_Valuation!B124</f>
        <v>1611.39</v>
      </c>
      <c r="C124" s="45">
        <f>P2_TaskV_Valuation!N124</f>
        <v>1.9977523552317869E-2</v>
      </c>
      <c r="D124" s="37">
        <f>P2_TaskV_Valuation!C124</f>
        <v>0.39100000000000001</v>
      </c>
      <c r="E124" s="46">
        <f>P2_TaskV_Valuation!D124</f>
        <v>1.295890410958904</v>
      </c>
      <c r="F124" s="47">
        <f>P2_TaskV_Valuation!O124</f>
        <v>1.3977523552317869E-2</v>
      </c>
      <c r="G124" s="47">
        <f>P2_TaskV_Valuation!P124</f>
        <v>0.4451033834041348</v>
      </c>
      <c r="H124" s="47">
        <f>P2_TaskV_Valuation!Q124</f>
        <v>-0.40857252665590971</v>
      </c>
      <c r="I124" s="36">
        <f>P2_TaskV_Valuation!AB124</f>
        <v>1583.0634189989432</v>
      </c>
      <c r="J124" s="22">
        <f t="shared" si="72"/>
        <v>1627.5039000000002</v>
      </c>
      <c r="K124" s="28">
        <f t="shared" si="73"/>
        <v>-0.19979142546489531</v>
      </c>
      <c r="L124" s="28">
        <f t="shared" si="74"/>
        <v>1.2478655468602615</v>
      </c>
      <c r="M124" s="28">
        <f t="shared" si="75"/>
        <v>-2.1690297803381915</v>
      </c>
      <c r="N124" s="28">
        <f t="shared" si="76"/>
        <v>-0.72137280801303483</v>
      </c>
      <c r="O124" s="28">
        <f t="shared" si="77"/>
        <v>507.84147458265943</v>
      </c>
      <c r="P124" s="28">
        <f t="shared" si="78"/>
        <v>240.08044246930064</v>
      </c>
      <c r="Q124" s="28">
        <f t="shared" si="79"/>
        <v>-1.9925778631598305</v>
      </c>
      <c r="R124" s="28">
        <f t="shared" si="80"/>
        <v>113.0377611597398</v>
      </c>
      <c r="S124" s="22">
        <f t="shared" si="81"/>
        <v>1593.7763334135375</v>
      </c>
      <c r="T124" s="22">
        <f t="shared" si="82"/>
        <v>1595.2761</v>
      </c>
      <c r="U124" s="28">
        <f t="shared" si="83"/>
        <v>-0.24472630453434951</v>
      </c>
      <c r="V124" s="28">
        <f t="shared" si="84"/>
        <v>1.2029306677908076</v>
      </c>
      <c r="W124" s="28">
        <f t="shared" si="85"/>
        <v>-2.1240949012687373</v>
      </c>
      <c r="X124" s="28">
        <f t="shared" si="86"/>
        <v>-0.67643792894358068</v>
      </c>
      <c r="Y124" s="28">
        <f t="shared" si="87"/>
        <v>526.64168845605309</v>
      </c>
      <c r="Z124" s="28">
        <f t="shared" si="88"/>
        <v>255.84405410441363</v>
      </c>
      <c r="AA124" s="28">
        <f t="shared" si="89"/>
        <v>-2.2646212433479143</v>
      </c>
      <c r="AB124" s="28">
        <f t="shared" si="90"/>
        <v>118.71375605458505</v>
      </c>
      <c r="AC124" s="22">
        <f t="shared" si="91"/>
        <v>1572.0646835033911</v>
      </c>
      <c r="AD124" s="43">
        <f t="shared" si="92"/>
        <v>0.67369320618057804</v>
      </c>
      <c r="AE124" s="22">
        <f t="shared" si="93"/>
        <v>1085.5824955073217</v>
      </c>
      <c r="AF124" s="22">
        <f t="shared" si="94"/>
        <v>497.48092349162152</v>
      </c>
      <c r="AG124" s="30">
        <f t="shared" si="95"/>
        <v>0.68574795076358619</v>
      </c>
    </row>
    <row r="125" spans="1:33" x14ac:dyDescent="0.2">
      <c r="A125" s="35">
        <f>P2_TaskV_Valuation!A125</f>
        <v>46084</v>
      </c>
      <c r="B125" s="36">
        <f>P2_TaskV_Valuation!B125</f>
        <v>1564.36</v>
      </c>
      <c r="C125" s="45">
        <f>P2_TaskV_Valuation!N125</f>
        <v>2.0807142706093545E-2</v>
      </c>
      <c r="D125" s="37">
        <f>P2_TaskV_Valuation!C125</f>
        <v>0.39600000000000002</v>
      </c>
      <c r="E125" s="46">
        <f>P2_TaskV_Valuation!D125</f>
        <v>1.2931506849315069</v>
      </c>
      <c r="F125" s="47">
        <f>P2_TaskV_Valuation!O125</f>
        <v>1.4807142706093545E-2</v>
      </c>
      <c r="G125" s="47">
        <f>P2_TaskV_Valuation!P125</f>
        <v>0.45031846265528491</v>
      </c>
      <c r="H125" s="47">
        <f>P2_TaskV_Valuation!Q125</f>
        <v>-0.4055763269940979</v>
      </c>
      <c r="I125" s="36">
        <f>P2_TaskV_Valuation!AB125</f>
        <v>1543.1221597074709</v>
      </c>
      <c r="J125" s="22">
        <f t="shared" si="72"/>
        <v>1580.0036</v>
      </c>
      <c r="K125" s="28">
        <f t="shared" si="73"/>
        <v>-0.25577194576285534</v>
      </c>
      <c r="L125" s="28">
        <f t="shared" si="74"/>
        <v>1.1751199004010522</v>
      </c>
      <c r="M125" s="28">
        <f t="shared" si="75"/>
        <v>-2.0706518373771088</v>
      </c>
      <c r="N125" s="28">
        <f t="shared" si="76"/>
        <v>-0.63975999121320126</v>
      </c>
      <c r="O125" s="28">
        <f t="shared" si="77"/>
        <v>537.37516317230745</v>
      </c>
      <c r="P125" s="28">
        <f t="shared" si="78"/>
        <v>268.04086062129284</v>
      </c>
      <c r="Q125" s="28">
        <f t="shared" si="79"/>
        <v>-2.6445140580204534</v>
      </c>
      <c r="R125" s="28">
        <f t="shared" si="80"/>
        <v>121.93333389613727</v>
      </c>
      <c r="S125" s="22">
        <f t="shared" si="81"/>
        <v>1554.285274231868</v>
      </c>
      <c r="T125" s="22">
        <f t="shared" si="82"/>
        <v>1548.7163999999998</v>
      </c>
      <c r="U125" s="28">
        <f t="shared" si="83"/>
        <v>-0.30018643987161686</v>
      </c>
      <c r="V125" s="28">
        <f t="shared" si="84"/>
        <v>1.1307054062922908</v>
      </c>
      <c r="W125" s="28">
        <f t="shared" si="85"/>
        <v>-2.0262373432683476</v>
      </c>
      <c r="X125" s="28">
        <f t="shared" si="86"/>
        <v>-0.59534549710443962</v>
      </c>
      <c r="Y125" s="28">
        <f t="shared" si="87"/>
        <v>556.29573122529325</v>
      </c>
      <c r="Z125" s="28">
        <f t="shared" si="88"/>
        <v>284.70685971803363</v>
      </c>
      <c r="AA125" s="28">
        <f t="shared" si="89"/>
        <v>-2.9905630267834731</v>
      </c>
      <c r="AB125" s="28">
        <f t="shared" si="90"/>
        <v>127.52283089929062</v>
      </c>
      <c r="AC125" s="22">
        <f t="shared" si="91"/>
        <v>1531.683729163211</v>
      </c>
      <c r="AD125" s="43">
        <f t="shared" si="92"/>
        <v>0.72238950972464977</v>
      </c>
      <c r="AE125" s="22">
        <f t="shared" si="93"/>
        <v>1130.077253432853</v>
      </c>
      <c r="AF125" s="22">
        <f t="shared" si="94"/>
        <v>413.04490627461792</v>
      </c>
      <c r="AG125" s="30">
        <f t="shared" si="95"/>
        <v>0.73233168633070589</v>
      </c>
    </row>
    <row r="126" spans="1:33" x14ac:dyDescent="0.2">
      <c r="A126" s="35">
        <f>P2_TaskV_Valuation!A126</f>
        <v>46085</v>
      </c>
      <c r="B126" s="36">
        <f>P2_TaskV_Valuation!B126</f>
        <v>1622.28</v>
      </c>
      <c r="C126" s="45">
        <f>P2_TaskV_Valuation!N126</f>
        <v>2.053750242094806E-2</v>
      </c>
      <c r="D126" s="37">
        <f>P2_TaskV_Valuation!C126</f>
        <v>0.40899999999999997</v>
      </c>
      <c r="E126" s="46">
        <f>P2_TaskV_Valuation!D126</f>
        <v>1.2904109589041095</v>
      </c>
      <c r="F126" s="47">
        <f>P2_TaskV_Valuation!O126</f>
        <v>1.453750242094806E-2</v>
      </c>
      <c r="G126" s="47">
        <f>P2_TaskV_Valuation!P126</f>
        <v>0.46460869085332268</v>
      </c>
      <c r="H126" s="47">
        <f>P2_TaskV_Valuation!Q126</f>
        <v>-0.41309531613902317</v>
      </c>
      <c r="I126" s="36">
        <f>P2_TaskV_Valuation!AB126</f>
        <v>1565.8169677352257</v>
      </c>
      <c r="J126" s="22">
        <f t="shared" si="72"/>
        <v>1638.5028</v>
      </c>
      <c r="K126" s="28">
        <f t="shared" si="73"/>
        <v>-0.15642047535489978</v>
      </c>
      <c r="L126" s="28">
        <f t="shared" si="74"/>
        <v>1.230460633577988</v>
      </c>
      <c r="M126" s="28">
        <f t="shared" si="75"/>
        <v>-2.0719797088622123</v>
      </c>
      <c r="N126" s="28">
        <f t="shared" si="76"/>
        <v>-0.68509859992932465</v>
      </c>
      <c r="O126" s="28">
        <f t="shared" si="77"/>
        <v>513.11426212421532</v>
      </c>
      <c r="P126" s="28">
        <f t="shared" si="78"/>
        <v>254.51243236653175</v>
      </c>
      <c r="Q126" s="28">
        <f t="shared" si="79"/>
        <v>-2.7068210844026268</v>
      </c>
      <c r="R126" s="28">
        <f t="shared" si="80"/>
        <v>114.16272584032896</v>
      </c>
      <c r="S126" s="22">
        <f t="shared" si="81"/>
        <v>1576.3105670965856</v>
      </c>
      <c r="T126" s="22">
        <f t="shared" si="82"/>
        <v>1606.0572</v>
      </c>
      <c r="U126" s="28">
        <f t="shared" si="83"/>
        <v>-0.19946888813843022</v>
      </c>
      <c r="V126" s="28">
        <f t="shared" si="84"/>
        <v>1.1874122207944573</v>
      </c>
      <c r="W126" s="28">
        <f t="shared" si="85"/>
        <v>-2.0289312960786816</v>
      </c>
      <c r="X126" s="28">
        <f t="shared" si="86"/>
        <v>-0.6420501871457942</v>
      </c>
      <c r="Y126" s="28">
        <f t="shared" si="87"/>
        <v>531.48439495991352</v>
      </c>
      <c r="Z126" s="28">
        <f t="shared" si="88"/>
        <v>270.20544959259541</v>
      </c>
      <c r="AA126" s="28">
        <f t="shared" si="89"/>
        <v>-3.048993690890633</v>
      </c>
      <c r="AB126" s="28">
        <f t="shared" si="90"/>
        <v>119.37894568739452</v>
      </c>
      <c r="AC126" s="22">
        <f t="shared" si="91"/>
        <v>1555.0591574169684</v>
      </c>
      <c r="AD126" s="43">
        <f t="shared" si="92"/>
        <v>0.65498587418994114</v>
      </c>
      <c r="AE126" s="22">
        <f t="shared" si="93"/>
        <v>1062.5704839808577</v>
      </c>
      <c r="AF126" s="22">
        <f t="shared" si="94"/>
        <v>503.246483754368</v>
      </c>
      <c r="AG126" s="30">
        <f t="shared" si="95"/>
        <v>0.67860452778062808</v>
      </c>
    </row>
    <row r="127" spans="1:33" x14ac:dyDescent="0.2">
      <c r="A127" s="35">
        <f>P2_TaskV_Valuation!A127</f>
        <v>46086</v>
      </c>
      <c r="B127" s="36">
        <f>P2_TaskV_Valuation!B127</f>
        <v>1531.69</v>
      </c>
      <c r="C127" s="45">
        <f>P2_TaskV_Valuation!N127</f>
        <v>2.1111768160093351E-2</v>
      </c>
      <c r="D127" s="37">
        <f>P2_TaskV_Valuation!C127</f>
        <v>0.45500000000000002</v>
      </c>
      <c r="E127" s="46">
        <f>P2_TaskV_Valuation!D127</f>
        <v>1.2876712328767124</v>
      </c>
      <c r="F127" s="47">
        <f>P2_TaskV_Valuation!O127</f>
        <v>1.5111768160093351E-2</v>
      </c>
      <c r="G127" s="47">
        <f>P2_TaskV_Valuation!P127</f>
        <v>0.51631399069393946</v>
      </c>
      <c r="H127" s="47">
        <f>P2_TaskV_Valuation!Q127</f>
        <v>-0.42700510489026278</v>
      </c>
      <c r="I127" s="36">
        <f>P2_TaskV_Valuation!AB127</f>
        <v>1444.9808793931627</v>
      </c>
      <c r="J127" s="22">
        <f t="shared" si="72"/>
        <v>1547.0069000000001</v>
      </c>
      <c r="K127" s="28">
        <f t="shared" si="73"/>
        <v>-0.20157519063669016</v>
      </c>
      <c r="L127" s="28">
        <f t="shared" si="74"/>
        <v>1.0464193010959097</v>
      </c>
      <c r="M127" s="28">
        <f t="shared" si="75"/>
        <v>-1.7027232309457823</v>
      </c>
      <c r="N127" s="28">
        <f t="shared" si="76"/>
        <v>-0.45472873921318208</v>
      </c>
      <c r="O127" s="28">
        <f t="shared" si="77"/>
        <v>596.04992364812119</v>
      </c>
      <c r="P127" s="28">
        <f t="shared" si="78"/>
        <v>353.34442919204503</v>
      </c>
      <c r="Q127" s="28">
        <f t="shared" si="79"/>
        <v>-7.7429312957860574</v>
      </c>
      <c r="R127" s="28">
        <f t="shared" si="80"/>
        <v>129.55027993242186</v>
      </c>
      <c r="S127" s="22">
        <f t="shared" si="81"/>
        <v>1455.7247000973555</v>
      </c>
      <c r="T127" s="22">
        <f t="shared" si="82"/>
        <v>1516.3731</v>
      </c>
      <c r="U127" s="28">
        <f t="shared" si="83"/>
        <v>-0.24031260056003584</v>
      </c>
      <c r="V127" s="28">
        <f t="shared" si="84"/>
        <v>1.007681891172564</v>
      </c>
      <c r="W127" s="28">
        <f t="shared" si="85"/>
        <v>-1.6639858210224365</v>
      </c>
      <c r="X127" s="28">
        <f t="shared" si="86"/>
        <v>-0.41599132928983656</v>
      </c>
      <c r="Y127" s="28">
        <f t="shared" si="87"/>
        <v>613.90577242565894</v>
      </c>
      <c r="Z127" s="28">
        <f t="shared" si="88"/>
        <v>370.51087198431912</v>
      </c>
      <c r="AA127" s="28">
        <f t="shared" si="89"/>
        <v>-8.5146102305835498</v>
      </c>
      <c r="AB127" s="28">
        <f t="shared" si="90"/>
        <v>133.3042154628813</v>
      </c>
      <c r="AC127" s="22">
        <f t="shared" si="91"/>
        <v>1434.0326428398246</v>
      </c>
      <c r="AD127" s="43">
        <f t="shared" si="92"/>
        <v>0.7081086008765124</v>
      </c>
      <c r="AE127" s="22">
        <f t="shared" si="93"/>
        <v>1084.6028628765453</v>
      </c>
      <c r="AF127" s="22">
        <f t="shared" si="94"/>
        <v>360.37801651661744</v>
      </c>
      <c r="AG127" s="30">
        <f t="shared" si="95"/>
        <v>0.75060014865528013</v>
      </c>
    </row>
    <row r="128" spans="1:33" x14ac:dyDescent="0.2">
      <c r="A128" s="35">
        <f>P2_TaskV_Valuation!A128</f>
        <v>46087</v>
      </c>
      <c r="B128" s="36">
        <f>P2_TaskV_Valuation!B128</f>
        <v>1576.74</v>
      </c>
      <c r="C128" s="45">
        <f>P2_TaskV_Valuation!N128</f>
        <v>2.1566277433445434E-2</v>
      </c>
      <c r="D128" s="37">
        <f>P2_TaskV_Valuation!C128</f>
        <v>0.45600000000000002</v>
      </c>
      <c r="E128" s="46">
        <f>P2_TaskV_Valuation!D128</f>
        <v>1.284931506849315</v>
      </c>
      <c r="F128" s="47">
        <f>P2_TaskV_Valuation!O128</f>
        <v>1.5566277433445434E-2</v>
      </c>
      <c r="G128" s="47">
        <f>P2_TaskV_Valuation!P128</f>
        <v>0.51689797620828348</v>
      </c>
      <c r="H128" s="47">
        <f>P2_TaskV_Valuation!Q128</f>
        <v>-0.4251390935987735</v>
      </c>
      <c r="I128" s="36">
        <f>P2_TaskV_Valuation!AB128</f>
        <v>1475.0824466587426</v>
      </c>
      <c r="J128" s="22">
        <f t="shared" si="72"/>
        <v>1592.5074</v>
      </c>
      <c r="K128" s="28">
        <f t="shared" si="73"/>
        <v>-0.14363388815465772</v>
      </c>
      <c r="L128" s="28">
        <f t="shared" si="74"/>
        <v>1.1029506334509569</v>
      </c>
      <c r="M128" s="28">
        <f t="shared" si="75"/>
        <v>-1.7552462768164645</v>
      </c>
      <c r="N128" s="28">
        <f t="shared" si="76"/>
        <v>-0.50866175521084966</v>
      </c>
      <c r="O128" s="28">
        <f t="shared" si="77"/>
        <v>569.95430901526174</v>
      </c>
      <c r="P128" s="28">
        <f t="shared" si="78"/>
        <v>329.21813394623564</v>
      </c>
      <c r="Q128" s="28">
        <f t="shared" si="79"/>
        <v>-6.7879607995747833</v>
      </c>
      <c r="R128" s="28">
        <f t="shared" si="80"/>
        <v>123.81578732544898</v>
      </c>
      <c r="S128" s="22">
        <f t="shared" si="81"/>
        <v>1485.5166048611959</v>
      </c>
      <c r="T128" s="22">
        <f t="shared" si="82"/>
        <v>1560.9726000000001</v>
      </c>
      <c r="U128" s="28">
        <f t="shared" si="83"/>
        <v>-0.18232753298837268</v>
      </c>
      <c r="V128" s="28">
        <f t="shared" si="84"/>
        <v>1.0642569886172417</v>
      </c>
      <c r="W128" s="28">
        <f t="shared" si="85"/>
        <v>-1.7165526319827493</v>
      </c>
      <c r="X128" s="28">
        <f t="shared" si="86"/>
        <v>-0.46996811037713465</v>
      </c>
      <c r="Y128" s="28">
        <f t="shared" si="87"/>
        <v>587.62536724710606</v>
      </c>
      <c r="Z128" s="28">
        <f t="shared" si="88"/>
        <v>345.72365049723339</v>
      </c>
      <c r="AA128" s="28">
        <f t="shared" si="89"/>
        <v>-7.4766204315429121</v>
      </c>
      <c r="AB128" s="28">
        <f t="shared" si="90"/>
        <v>127.70006246753229</v>
      </c>
      <c r="AC128" s="22">
        <f t="shared" si="91"/>
        <v>1464.4381535361467</v>
      </c>
      <c r="AD128" s="43">
        <f t="shared" si="92"/>
        <v>0.66841874136031221</v>
      </c>
      <c r="AE128" s="22">
        <f t="shared" si="93"/>
        <v>1053.9225662524586</v>
      </c>
      <c r="AF128" s="22">
        <f t="shared" si="94"/>
        <v>421.15988040628395</v>
      </c>
      <c r="AG128" s="30">
        <f t="shared" si="95"/>
        <v>0.71448383691347761</v>
      </c>
    </row>
    <row r="129" spans="1:33" x14ac:dyDescent="0.2">
      <c r="A129" s="35">
        <f>P2_TaskV_Valuation!A129</f>
        <v>46090</v>
      </c>
      <c r="B129" s="36">
        <f>P2_TaskV_Valuation!B129</f>
        <v>1608.92</v>
      </c>
      <c r="C129" s="45">
        <f>P2_TaskV_Valuation!N129</f>
        <v>2.1833950003412393E-2</v>
      </c>
      <c r="D129" s="37">
        <f>P2_TaskV_Valuation!C129</f>
        <v>0.44900000000000001</v>
      </c>
      <c r="E129" s="46">
        <f>P2_TaskV_Valuation!D129</f>
        <v>1.2767123287671234</v>
      </c>
      <c r="F129" s="47">
        <f>P2_TaskV_Valuation!O129</f>
        <v>1.5833950003412395E-2</v>
      </c>
      <c r="G129" s="47">
        <f>P2_TaskV_Valuation!P129</f>
        <v>0.50733271350444265</v>
      </c>
      <c r="H129" s="47">
        <f>P2_TaskV_Valuation!Q129</f>
        <v>-0.42145897092071766</v>
      </c>
      <c r="I129" s="36">
        <f>P2_TaskV_Valuation!AB129</f>
        <v>1506.6405928178392</v>
      </c>
      <c r="J129" s="22">
        <f t="shared" si="72"/>
        <v>1625.0092000000002</v>
      </c>
      <c r="K129" s="28">
        <f t="shared" si="73"/>
        <v>-0.1157525651595217</v>
      </c>
      <c r="L129" s="28">
        <f t="shared" si="74"/>
        <v>1.1543350898224798</v>
      </c>
      <c r="M129" s="28">
        <f t="shared" si="75"/>
        <v>-1.8373971644915921</v>
      </c>
      <c r="N129" s="28">
        <f t="shared" si="76"/>
        <v>-0.56730950950959025</v>
      </c>
      <c r="O129" s="28">
        <f t="shared" si="77"/>
        <v>545.8424843045608</v>
      </c>
      <c r="P129" s="28">
        <f t="shared" si="78"/>
        <v>303.14434322150043</v>
      </c>
      <c r="Q129" s="28">
        <f t="shared" si="79"/>
        <v>-5.4213612164096183</v>
      </c>
      <c r="R129" s="28">
        <f t="shared" si="80"/>
        <v>119.52222503147101</v>
      </c>
      <c r="S129" s="22">
        <f t="shared" si="81"/>
        <v>1516.9306071195399</v>
      </c>
      <c r="T129" s="22">
        <f t="shared" si="82"/>
        <v>1592.8308</v>
      </c>
      <c r="U129" s="28">
        <f t="shared" si="83"/>
        <v>-0.15517574086706371</v>
      </c>
      <c r="V129" s="28">
        <f t="shared" si="84"/>
        <v>1.1149119141149382</v>
      </c>
      <c r="W129" s="28">
        <f t="shared" si="85"/>
        <v>-1.79797398878405</v>
      </c>
      <c r="X129" s="28">
        <f t="shared" si="86"/>
        <v>-0.52788633380204819</v>
      </c>
      <c r="Y129" s="28">
        <f t="shared" si="87"/>
        <v>563.52843080959246</v>
      </c>
      <c r="Z129" s="28">
        <f t="shared" si="88"/>
        <v>319.17513171428436</v>
      </c>
      <c r="AA129" s="28">
        <f t="shared" si="89"/>
        <v>-5.9988318848613638</v>
      </c>
      <c r="AB129" s="28">
        <f t="shared" si="90"/>
        <v>123.7157311561686</v>
      </c>
      <c r="AC129" s="22">
        <f t="shared" si="91"/>
        <v>1496.1288418336064</v>
      </c>
      <c r="AD129" s="43">
        <f t="shared" si="92"/>
        <v>0.64645119974683229</v>
      </c>
      <c r="AE129" s="22">
        <f t="shared" si="93"/>
        <v>1040.0882642966735</v>
      </c>
      <c r="AF129" s="22">
        <f t="shared" si="94"/>
        <v>466.55232852116569</v>
      </c>
      <c r="AG129" s="30">
        <f t="shared" si="95"/>
        <v>0.69033601593822558</v>
      </c>
    </row>
    <row r="130" spans="1:33" x14ac:dyDescent="0.2">
      <c r="A130" s="35">
        <f>P2_TaskV_Valuation!A130</f>
        <v>46091</v>
      </c>
      <c r="B130" s="36">
        <f>P2_TaskV_Valuation!B130</f>
        <v>1636.64</v>
      </c>
      <c r="C130" s="45">
        <f>P2_TaskV_Valuation!N130</f>
        <v>2.1090380876369309E-2</v>
      </c>
      <c r="D130" s="37">
        <f>P2_TaskV_Valuation!C130</f>
        <v>0.44</v>
      </c>
      <c r="E130" s="46">
        <f>P2_TaskV_Valuation!D130</f>
        <v>1.273972602739726</v>
      </c>
      <c r="F130" s="47">
        <f>P2_TaskV_Valuation!O130</f>
        <v>1.5090380876369309E-2</v>
      </c>
      <c r="G130" s="47">
        <f>P2_TaskV_Valuation!P130</f>
        <v>0.49662973721919934</v>
      </c>
      <c r="H130" s="47">
        <f>P2_TaskV_Valuation!Q130</f>
        <v>-0.42205381778734857</v>
      </c>
      <c r="I130" s="36">
        <f>P2_TaskV_Valuation!AB130</f>
        <v>1537.0821540714367</v>
      </c>
      <c r="J130" s="22">
        <f t="shared" si="72"/>
        <v>1653.0064000000002</v>
      </c>
      <c r="K130" s="28">
        <f t="shared" si="73"/>
        <v>-9.6663986539373692E-2</v>
      </c>
      <c r="L130" s="28">
        <f t="shared" si="74"/>
        <v>1.2007956057888864</v>
      </c>
      <c r="M130" s="28">
        <f t="shared" si="75"/>
        <v>-1.9242046769189292</v>
      </c>
      <c r="N130" s="28">
        <f t="shared" si="76"/>
        <v>-0.62674508459066913</v>
      </c>
      <c r="O130" s="28">
        <f t="shared" si="77"/>
        <v>525.28252341681662</v>
      </c>
      <c r="P130" s="28">
        <f t="shared" si="78"/>
        <v>280.05985853361096</v>
      </c>
      <c r="Q130" s="28">
        <f t="shared" si="79"/>
        <v>-4.2615723088887698</v>
      </c>
      <c r="R130" s="28">
        <f t="shared" si="80"/>
        <v>115.4021388750358</v>
      </c>
      <c r="S130" s="22">
        <f t="shared" si="81"/>
        <v>1547.2547929089219</v>
      </c>
      <c r="T130" s="22">
        <f t="shared" si="82"/>
        <v>1620.2736</v>
      </c>
      <c r="U130" s="28">
        <f t="shared" si="83"/>
        <v>-0.13693677974475099</v>
      </c>
      <c r="V130" s="28">
        <f t="shared" si="84"/>
        <v>1.160522812583509</v>
      </c>
      <c r="W130" s="28">
        <f t="shared" si="85"/>
        <v>-1.8839318837135519</v>
      </c>
      <c r="X130" s="28">
        <f t="shared" si="86"/>
        <v>-0.58647229138529189</v>
      </c>
      <c r="Y130" s="28">
        <f t="shared" si="87"/>
        <v>543.03352157394227</v>
      </c>
      <c r="Z130" s="28">
        <f t="shared" si="88"/>
        <v>295.67990865083686</v>
      </c>
      <c r="AA130" s="28">
        <f t="shared" si="89"/>
        <v>-4.7391315248890713</v>
      </c>
      <c r="AB130" s="28">
        <f t="shared" si="90"/>
        <v>119.88347822688462</v>
      </c>
      <c r="AC130" s="22">
        <f t="shared" si="91"/>
        <v>1526.6758442238468</v>
      </c>
      <c r="AD130" s="43">
        <f t="shared" si="92"/>
        <v>0.62869503021663731</v>
      </c>
      <c r="AE130" s="22">
        <f t="shared" si="93"/>
        <v>1028.9474342537574</v>
      </c>
      <c r="AF130" s="22">
        <f t="shared" si="94"/>
        <v>508.1347198176793</v>
      </c>
      <c r="AG130" s="30">
        <f t="shared" si="95"/>
        <v>0.66941603057993515</v>
      </c>
    </row>
    <row r="131" spans="1:33" x14ac:dyDescent="0.2">
      <c r="A131" s="35">
        <f>P2_TaskV_Valuation!A131</f>
        <v>46092</v>
      </c>
      <c r="B131" s="36">
        <f>P2_TaskV_Valuation!B131</f>
        <v>1505.45</v>
      </c>
      <c r="C131" s="45">
        <f>P2_TaskV_Valuation!N131</f>
        <v>2.2423506413504758E-2</v>
      </c>
      <c r="D131" s="37">
        <f>P2_TaskV_Valuation!C131</f>
        <v>0.53600000000000003</v>
      </c>
      <c r="E131" s="46">
        <f>P2_TaskV_Valuation!D131</f>
        <v>1.2712328767123289</v>
      </c>
      <c r="F131" s="47">
        <f>P2_TaskV_Valuation!O131</f>
        <v>1.6423506413504756E-2</v>
      </c>
      <c r="G131" s="47">
        <f>P2_TaskV_Valuation!P131</f>
        <v>0.60433444428391248</v>
      </c>
      <c r="H131" s="47">
        <f>P2_TaskV_Valuation!Q131</f>
        <v>-0.44283419743572916</v>
      </c>
      <c r="I131" s="36">
        <f>P2_TaskV_Valuation!AB131</f>
        <v>1342.6840016181675</v>
      </c>
      <c r="J131" s="22">
        <f t="shared" si="72"/>
        <v>1520.5045</v>
      </c>
      <c r="K131" s="28">
        <f t="shared" si="73"/>
        <v>-0.11685058160506367</v>
      </c>
      <c r="L131" s="28">
        <f t="shared" si="74"/>
        <v>0.94937528469323129</v>
      </c>
      <c r="M131" s="28">
        <f t="shared" si="75"/>
        <v>-1.3421721796581689</v>
      </c>
      <c r="N131" s="28">
        <f t="shared" si="76"/>
        <v>-0.27594631335987396</v>
      </c>
      <c r="O131" s="28">
        <f t="shared" si="77"/>
        <v>661.57096990468301</v>
      </c>
      <c r="P131" s="28">
        <f t="shared" si="78"/>
        <v>451.19175413568291</v>
      </c>
      <c r="Q131" s="28">
        <f t="shared" si="79"/>
        <v>-20.061461639224461</v>
      </c>
      <c r="R131" s="28">
        <f t="shared" si="80"/>
        <v>120.06474303695308</v>
      </c>
      <c r="S131" s="22">
        <f t="shared" si="81"/>
        <v>1352.4759413758322</v>
      </c>
      <c r="T131" s="22">
        <f t="shared" si="82"/>
        <v>1490.3955000000001</v>
      </c>
      <c r="U131" s="28">
        <f t="shared" si="83"/>
        <v>-0.14994594278436679</v>
      </c>
      <c r="V131" s="28">
        <f t="shared" si="84"/>
        <v>0.9162799235139284</v>
      </c>
      <c r="W131" s="28">
        <f t="shared" si="85"/>
        <v>-1.3090768184788661</v>
      </c>
      <c r="X131" s="28">
        <f t="shared" si="86"/>
        <v>-0.24285095218057096</v>
      </c>
      <c r="Y131" s="28">
        <f t="shared" si="87"/>
        <v>678.09582453130349</v>
      </c>
      <c r="Z131" s="28">
        <f t="shared" si="88"/>
        <v>467.98399610710402</v>
      </c>
      <c r="AA131" s="28">
        <f t="shared" si="89"/>
        <v>-21.542978953211843</v>
      </c>
      <c r="AB131" s="28">
        <f t="shared" si="90"/>
        <v>121.52100502670248</v>
      </c>
      <c r="AC131" s="22">
        <f t="shared" si="91"/>
        <v>1332.7459201006741</v>
      </c>
      <c r="AD131" s="43">
        <f t="shared" si="92"/>
        <v>0.6552865015496413</v>
      </c>
      <c r="AE131" s="22">
        <f t="shared" si="93"/>
        <v>986.50106375790756</v>
      </c>
      <c r="AF131" s="22">
        <f t="shared" si="94"/>
        <v>356.18293786025993</v>
      </c>
      <c r="AG131" s="30">
        <f t="shared" si="95"/>
        <v>0.73472318324267094</v>
      </c>
    </row>
    <row r="132" spans="1:33" x14ac:dyDescent="0.2">
      <c r="A132" s="35">
        <f>P2_TaskV_Valuation!A132</f>
        <v>46093</v>
      </c>
      <c r="B132" s="36">
        <f>P2_TaskV_Valuation!B132</f>
        <v>1535.16</v>
      </c>
      <c r="C132" s="45">
        <f>P2_TaskV_Valuation!N132</f>
        <v>2.2886384570236666E-2</v>
      </c>
      <c r="D132" s="37">
        <f>P2_TaskV_Valuation!C132</f>
        <v>0.52500000000000002</v>
      </c>
      <c r="E132" s="46">
        <f>P2_TaskV_Valuation!D132</f>
        <v>1.2684931506849315</v>
      </c>
      <c r="F132" s="47">
        <f>P2_TaskV_Valuation!O132</f>
        <v>1.6886384570236668E-2</v>
      </c>
      <c r="G132" s="47">
        <f>P2_TaskV_Valuation!P132</f>
        <v>0.59129385643479693</v>
      </c>
      <c r="H132" s="47">
        <f>P2_TaskV_Valuation!Q132</f>
        <v>-0.43873420564086468</v>
      </c>
      <c r="I132" s="36">
        <f>P2_TaskV_Valuation!AB132</f>
        <v>1373.4099278028905</v>
      </c>
      <c r="J132" s="22">
        <f t="shared" ref="J132:J163" si="96">B132*(1+dS)</f>
        <v>1550.5116</v>
      </c>
      <c r="K132" s="28">
        <f t="shared" ref="K132:K163" si="97">LN(J132/Cap)/G132+(1+H132)*G132</f>
        <v>-9.8644292412766177E-2</v>
      </c>
      <c r="L132" s="28">
        <f t="shared" ref="L132:L163" si="98">LN(J132/Barrier)/G132+(1+H132)*G132</f>
        <v>0.99109646741122459</v>
      </c>
      <c r="M132" s="28">
        <f t="shared" ref="M132:M163" si="99">LN(Barrier^2/(J132*Cap))/G132+(1+H132)*G132</f>
        <v>-1.4170911951721097</v>
      </c>
      <c r="N132" s="28">
        <f t="shared" ref="N132:N163" si="100">LN(Barrier/J132)/G132+(1+H132)*G132</f>
        <v>-0.32735043534811908</v>
      </c>
      <c r="O132" s="28">
        <f t="shared" ref="O132:O163" si="101">-J132*EXP((F132-C132)*E132)*NORMSDIST(-K132)+Cap*EXP(-C132*E132)*NORMSDIST(-K132+G132)</f>
        <v>636.73172790052342</v>
      </c>
      <c r="P132" s="28">
        <f t="shared" ref="P132:P163" si="102">-J132*EXP((F132-C132)*E132)*NORMSDIST(-L132)+Cap*EXP(-C132*E132)*NORMSDIST(-L132+G132)</f>
        <v>422.11682532707988</v>
      </c>
      <c r="Q132" s="28">
        <f t="shared" ref="Q132:Q163" si="103">-J132*EXP((F132-C132)*E132)*(Barrier/J132)^(2*(H132+1))*NORMSDIST(M132)+Cap*EXP(-C132*E132)*(Barrier/J132)^(2*H132)*NORMSDIST(M132-G132)</f>
        <v>-16.72003813918549</v>
      </c>
      <c r="R132" s="28">
        <f t="shared" ref="R132:R163" si="104">-J132*EXP((F132-C132)*E132)*(Barrier/J132)^(2*(H132+1))*NORMSDIST(N132)+Cap*EXP(-C132*E132)*(Barrier/J132)^(2*H132)*NORMSDIST(N132-G132)</f>
        <v>120.69599430732069</v>
      </c>
      <c r="S132" s="22">
        <f t="shared" ref="S132:S163" si="105">Cap*EXP(-C132*E132)-O132+IF(J132&lt;=Barrier,0,O132-P132+Q132-R132)</f>
        <v>1383.239412838363</v>
      </c>
      <c r="T132" s="22">
        <f t="shared" ref="T132:T163" si="106">B132*(1-dS)</f>
        <v>1519.8084000000001</v>
      </c>
      <c r="U132" s="28">
        <f t="shared" ref="U132:U163" si="107">LN(T132/Cap)/G132+(1+H132)*G132</f>
        <v>-0.13246954949773476</v>
      </c>
      <c r="V132" s="28">
        <f t="shared" ref="V132:V163" si="108">LN(T132/Barrier)/G132+(1+H132)*G132</f>
        <v>0.95727121032625595</v>
      </c>
      <c r="W132" s="28">
        <f t="shared" ref="W132:W163" si="109">LN(Barrier^2/(T132*Cap))/G132+(1+H132)*G132</f>
        <v>-1.3832659380871413</v>
      </c>
      <c r="X132" s="28">
        <f t="shared" ref="X132:X163" si="110">LN(Barrier/T132)/G132+(1+H132)*G132</f>
        <v>-0.29352517826315044</v>
      </c>
      <c r="Y132" s="28">
        <f t="shared" ref="Y132:Y163" si="111">-T132*EXP((F132-C132)*E132)*NORMSDIST(-U132)+Cap*EXP(-C132*E132)*NORMSDIST(-U132+G132)</f>
        <v>653.36776598000677</v>
      </c>
      <c r="Z132" s="28">
        <f t="shared" ref="Z132:Z163" si="112">-T132*EXP((F132-C132)*E132)*NORMSDIST(-V132)+Cap*EXP(-C132*E132)*NORMSDIST(-V132+G132)</f>
        <v>438.71599179060826</v>
      </c>
      <c r="AA132" s="28">
        <f t="shared" ref="AA132:AA163" si="113">-T132*EXP((F132-C132)*E132)*(Barrier/T132)^(2*(H132+1))*NORMSDIST(W132)+Cap*EXP(-C132*E132)*(Barrier/T132)^(2*H132)*NORMSDIST(W132-G132)</f>
        <v>-18.021545773344002</v>
      </c>
      <c r="AB132" s="28">
        <f t="shared" ref="AB132:AB163" si="114">-T132*EXP((F132-C132)*E132)*(Barrier/T132)^(2*(H132+1))*NORMSDIST(X132)+Cap*EXP(-C132*E132)*(Barrier/T132)^(2*H132)*NORMSDIST(X132-G132)</f>
        <v>122.61061730432073</v>
      </c>
      <c r="AC132" s="22">
        <f t="shared" ref="AC132:AC163" si="115">Cap*EXP(-C132*E132)-Y132+IF(T132&lt;=Barrier,0,Y132-Z132+AA132-AB132)</f>
        <v>1363.4241157436759</v>
      </c>
      <c r="AD132" s="43">
        <f t="shared" ref="AD132:AD163" si="116">(S132-AC132)/(2*dS*B132)</f>
        <v>0.64538214566192242</v>
      </c>
      <c r="AE132" s="22">
        <f t="shared" ref="AE132:AE163" si="117">AD132*B132</f>
        <v>990.76485473435685</v>
      </c>
      <c r="AF132" s="22">
        <f t="shared" ref="AF132:AF163" si="118">I132-AE132</f>
        <v>382.64507306853363</v>
      </c>
      <c r="AG132" s="30">
        <f t="shared" ref="AG132:AG163" si="119">AE132/I132</f>
        <v>0.72139048559182239</v>
      </c>
    </row>
    <row r="133" spans="1:33" x14ac:dyDescent="0.2">
      <c r="A133" s="35">
        <f>P2_TaskV_Valuation!A133</f>
        <v>46094</v>
      </c>
      <c r="B133" s="36">
        <f>P2_TaskV_Valuation!B133</f>
        <v>1576.74</v>
      </c>
      <c r="C133" s="45">
        <f>P2_TaskV_Valuation!N133</f>
        <v>2.2909778488606706E-2</v>
      </c>
      <c r="D133" s="37">
        <f>P2_TaskV_Valuation!C133</f>
        <v>0.52</v>
      </c>
      <c r="E133" s="46">
        <f>P2_TaskV_Valuation!D133</f>
        <v>1.2657534246575342</v>
      </c>
      <c r="F133" s="47">
        <f>P2_TaskV_Valuation!O133</f>
        <v>1.6909778488606704E-2</v>
      </c>
      <c r="G133" s="47">
        <f>P2_TaskV_Valuation!P133</f>
        <v>0.58502967961240848</v>
      </c>
      <c r="H133" s="47">
        <f>P2_TaskV_Valuation!Q133</f>
        <v>-0.43746383695041902</v>
      </c>
      <c r="I133" s="36">
        <f>P2_TaskV_Valuation!AB133</f>
        <v>1405.6441300520351</v>
      </c>
      <c r="J133" s="22">
        <f t="shared" si="96"/>
        <v>1592.5074</v>
      </c>
      <c r="K133" s="28">
        <f t="shared" si="97"/>
        <v>-6.0345574778885025E-2</v>
      </c>
      <c r="L133" s="28">
        <f t="shared" si="98"/>
        <v>1.0410635311957215</v>
      </c>
      <c r="M133" s="28">
        <f t="shared" si="99"/>
        <v>-1.4842719346917486</v>
      </c>
      <c r="N133" s="28">
        <f t="shared" si="100"/>
        <v>-0.38286282871714161</v>
      </c>
      <c r="O133" s="28">
        <f t="shared" si="101"/>
        <v>610.72244658452917</v>
      </c>
      <c r="P133" s="28">
        <f t="shared" si="102"/>
        <v>394.46750308709375</v>
      </c>
      <c r="Q133" s="28">
        <f t="shared" si="103"/>
        <v>-14.253304658640644</v>
      </c>
      <c r="R133" s="28">
        <f t="shared" si="104"/>
        <v>118.74303694638888</v>
      </c>
      <c r="S133" s="22">
        <f t="shared" si="105"/>
        <v>1415.3727162150219</v>
      </c>
      <c r="T133" s="22">
        <f t="shared" si="106"/>
        <v>1560.9726000000001</v>
      </c>
      <c r="U133" s="28">
        <f t="shared" si="107"/>
        <v>-9.4533014157892503E-2</v>
      </c>
      <c r="V133" s="28">
        <f t="shared" si="108"/>
        <v>1.0068760918167139</v>
      </c>
      <c r="W133" s="28">
        <f t="shared" si="109"/>
        <v>-1.450084495312741</v>
      </c>
      <c r="X133" s="28">
        <f t="shared" si="110"/>
        <v>-0.34867538933813402</v>
      </c>
      <c r="Y133" s="28">
        <f t="shared" si="111"/>
        <v>627.33569189287209</v>
      </c>
      <c r="Z133" s="28">
        <f t="shared" si="112"/>
        <v>410.68356937708836</v>
      </c>
      <c r="AA133" s="28">
        <f t="shared" si="113"/>
        <v>-15.40379605631292</v>
      </c>
      <c r="AB133" s="28">
        <f t="shared" si="114"/>
        <v>120.99817152813011</v>
      </c>
      <c r="AC133" s="22">
        <f t="shared" si="115"/>
        <v>1395.7510239456137</v>
      </c>
      <c r="AD133" s="43">
        <f t="shared" si="116"/>
        <v>0.62222345692403902</v>
      </c>
      <c r="AE133" s="22">
        <f t="shared" si="117"/>
        <v>981.08461347040929</v>
      </c>
      <c r="AF133" s="22">
        <f t="shared" si="118"/>
        <v>424.55951658162576</v>
      </c>
      <c r="AG133" s="30">
        <f t="shared" si="119"/>
        <v>0.69796087963892461</v>
      </c>
    </row>
    <row r="134" spans="1:33" x14ac:dyDescent="0.2">
      <c r="A134" s="35">
        <f>P2_TaskV_Valuation!A134</f>
        <v>46097</v>
      </c>
      <c r="B134" s="36">
        <f>P2_TaskV_Valuation!B134</f>
        <v>1608.42</v>
      </c>
      <c r="C134" s="45">
        <f>P2_TaskV_Valuation!N134</f>
        <v>2.2694977154995195E-2</v>
      </c>
      <c r="D134" s="37">
        <f>P2_TaskV_Valuation!C134</f>
        <v>0.51</v>
      </c>
      <c r="E134" s="46">
        <f>P2_TaskV_Valuation!D134</f>
        <v>1.2575342465753425</v>
      </c>
      <c r="F134" s="47">
        <f>P2_TaskV_Valuation!O134</f>
        <v>1.6694977154995197E-2</v>
      </c>
      <c r="G134" s="47">
        <f>P2_TaskV_Valuation!P134</f>
        <v>0.57191315558767009</v>
      </c>
      <c r="H134" s="47">
        <f>P2_TaskV_Valuation!Q134</f>
        <v>-0.43581323662054905</v>
      </c>
      <c r="I134" s="36">
        <f>P2_TaskV_Valuation!AB134</f>
        <v>1438.2231632130522</v>
      </c>
      <c r="J134" s="22">
        <f t="shared" si="96"/>
        <v>1624.5042000000001</v>
      </c>
      <c r="K134" s="28">
        <f t="shared" si="97"/>
        <v>-4.0928739811901205E-2</v>
      </c>
      <c r="L134" s="28">
        <f t="shared" si="98"/>
        <v>1.0857405981724706</v>
      </c>
      <c r="M134" s="28">
        <f t="shared" si="99"/>
        <v>-1.5670782717865706</v>
      </c>
      <c r="N134" s="28">
        <f t="shared" si="100"/>
        <v>-0.44040893380219875</v>
      </c>
      <c r="O134" s="28">
        <f t="shared" si="101"/>
        <v>586.47452015201497</v>
      </c>
      <c r="P134" s="28">
        <f t="shared" si="102"/>
        <v>366.50215662131217</v>
      </c>
      <c r="Q134" s="28">
        <f t="shared" si="103"/>
        <v>-11.574710389607745</v>
      </c>
      <c r="R134" s="28">
        <f t="shared" si="104"/>
        <v>117.71085824436437</v>
      </c>
      <c r="S134" s="22">
        <f t="shared" si="105"/>
        <v>1447.9396741501823</v>
      </c>
      <c r="T134" s="22">
        <f t="shared" si="106"/>
        <v>1592.3358000000001</v>
      </c>
      <c r="U134" s="28">
        <f t="shared" si="107"/>
        <v>-7.5900249928883612E-2</v>
      </c>
      <c r="V134" s="28">
        <f t="shared" si="108"/>
        <v>1.0507690880554883</v>
      </c>
      <c r="W134" s="28">
        <f t="shared" si="109"/>
        <v>-1.5321067616695883</v>
      </c>
      <c r="X134" s="28">
        <f t="shared" si="110"/>
        <v>-0.40543742368521635</v>
      </c>
      <c r="Y134" s="28">
        <f t="shared" si="111"/>
        <v>603.1806341483699</v>
      </c>
      <c r="Z134" s="28">
        <f t="shared" si="112"/>
        <v>382.44598466271168</v>
      </c>
      <c r="AA134" s="28">
        <f t="shared" si="113"/>
        <v>-12.560818709821973</v>
      </c>
      <c r="AB134" s="28">
        <f t="shared" si="114"/>
        <v>120.38929524638667</v>
      </c>
      <c r="AC134" s="22">
        <f t="shared" si="115"/>
        <v>1428.3313007865461</v>
      </c>
      <c r="AD134" s="43">
        <f t="shared" si="116"/>
        <v>0.60955389026610718</v>
      </c>
      <c r="AE134" s="22">
        <f t="shared" si="117"/>
        <v>980.41866818181211</v>
      </c>
      <c r="AF134" s="22">
        <f t="shared" si="118"/>
        <v>457.80449503124009</v>
      </c>
      <c r="AG134" s="30">
        <f t="shared" si="119"/>
        <v>0.68168744132274628</v>
      </c>
    </row>
    <row r="135" spans="1:33" x14ac:dyDescent="0.2">
      <c r="A135" s="35">
        <f>P2_TaskV_Valuation!A135</f>
        <v>46098</v>
      </c>
      <c r="B135" s="36">
        <f>P2_TaskV_Valuation!B135</f>
        <v>1618.82</v>
      </c>
      <c r="C135" s="45">
        <f>P2_TaskV_Valuation!N135</f>
        <v>2.2658459938917404E-2</v>
      </c>
      <c r="D135" s="37">
        <f>P2_TaskV_Valuation!C135</f>
        <v>0.495</v>
      </c>
      <c r="E135" s="46">
        <f>P2_TaskV_Valuation!D135</f>
        <v>1.2547945205479452</v>
      </c>
      <c r="F135" s="47">
        <f>P2_TaskV_Valuation!O135</f>
        <v>1.6658459938917403E-2</v>
      </c>
      <c r="G135" s="47">
        <f>P2_TaskV_Valuation!P135</f>
        <v>0.5544871751422753</v>
      </c>
      <c r="H135" s="47">
        <f>P2_TaskV_Valuation!Q135</f>
        <v>-0.43201322338978715</v>
      </c>
      <c r="I135" s="36">
        <f>P2_TaskV_Valuation!AB135</f>
        <v>1462.2579822808987</v>
      </c>
      <c r="J135" s="22">
        <f t="shared" si="96"/>
        <v>1635.0082</v>
      </c>
      <c r="K135" s="28">
        <f t="shared" si="97"/>
        <v>-4.8456310960014515E-2</v>
      </c>
      <c r="L135" s="28">
        <f t="shared" si="98"/>
        <v>1.1136210918675231</v>
      </c>
      <c r="M135" s="28">
        <f t="shared" si="99"/>
        <v>-1.6458157281335339</v>
      </c>
      <c r="N135" s="28">
        <f t="shared" si="100"/>
        <v>-0.4837383253059962</v>
      </c>
      <c r="O135" s="28">
        <f t="shared" si="101"/>
        <v>569.98160676246334</v>
      </c>
      <c r="P135" s="28">
        <f t="shared" si="102"/>
        <v>344.55017668508549</v>
      </c>
      <c r="Q135" s="28">
        <f t="shared" si="103"/>
        <v>-9.3681786985206088</v>
      </c>
      <c r="R135" s="28">
        <f t="shared" si="104"/>
        <v>117.94165434403055</v>
      </c>
      <c r="S135" s="22">
        <f t="shared" si="105"/>
        <v>1472.0773228388555</v>
      </c>
      <c r="T135" s="22">
        <f t="shared" si="106"/>
        <v>1602.6317999999999</v>
      </c>
      <c r="U135" s="28">
        <f t="shared" si="107"/>
        <v>-8.4526877788792032E-2</v>
      </c>
      <c r="V135" s="28">
        <f t="shared" si="108"/>
        <v>1.0775505250387454</v>
      </c>
      <c r="W135" s="28">
        <f t="shared" si="109"/>
        <v>-1.6097451613047562</v>
      </c>
      <c r="X135" s="28">
        <f t="shared" si="110"/>
        <v>-0.44766775847721857</v>
      </c>
      <c r="Y135" s="28">
        <f t="shared" si="111"/>
        <v>586.89932921944012</v>
      </c>
      <c r="Z135" s="28">
        <f t="shared" si="112"/>
        <v>360.41799935960228</v>
      </c>
      <c r="AA135" s="28">
        <f t="shared" si="113"/>
        <v>-10.21692859354004</v>
      </c>
      <c r="AB135" s="28">
        <f t="shared" si="114"/>
        <v>121.05104769172186</v>
      </c>
      <c r="AC135" s="22">
        <f t="shared" si="115"/>
        <v>1452.2513569216278</v>
      </c>
      <c r="AD135" s="43">
        <f t="shared" si="116"/>
        <v>0.61235856726589977</v>
      </c>
      <c r="AE135" s="22">
        <f t="shared" si="117"/>
        <v>991.29829586138385</v>
      </c>
      <c r="AF135" s="22">
        <f t="shared" si="118"/>
        <v>470.95968641951481</v>
      </c>
      <c r="AG135" s="30">
        <f t="shared" si="119"/>
        <v>0.67792298477667412</v>
      </c>
    </row>
    <row r="136" spans="1:33" x14ac:dyDescent="0.2">
      <c r="A136" s="35">
        <f>P2_TaskV_Valuation!A136</f>
        <v>46099</v>
      </c>
      <c r="B136" s="36">
        <f>P2_TaskV_Valuation!B136</f>
        <v>1589.61</v>
      </c>
      <c r="C136" s="45">
        <f>P2_TaskV_Valuation!N136</f>
        <v>2.3286539567586591E-2</v>
      </c>
      <c r="D136" s="37">
        <f>P2_TaskV_Valuation!C136</f>
        <v>0.48499999999999999</v>
      </c>
      <c r="E136" s="46">
        <f>P2_TaskV_Valuation!D136</f>
        <v>1.252054794520548</v>
      </c>
      <c r="F136" s="47">
        <f>P2_TaskV_Valuation!O136</f>
        <v>1.7286539567586592E-2</v>
      </c>
      <c r="G136" s="47">
        <f>P2_TaskV_Valuation!P136</f>
        <v>0.5426919835791717</v>
      </c>
      <c r="H136" s="47">
        <f>P2_TaskV_Valuation!Q136</f>
        <v>-0.42651061933218581</v>
      </c>
      <c r="I136" s="36">
        <f>P2_TaskV_Valuation!AB136</f>
        <v>1455.6919499907644</v>
      </c>
      <c r="J136" s="22">
        <f t="shared" si="96"/>
        <v>1605.5060999999998</v>
      </c>
      <c r="K136" s="28">
        <f t="shared" si="97"/>
        <v>-9.3620615101786542E-2</v>
      </c>
      <c r="L136" s="28">
        <f t="shared" si="98"/>
        <v>1.0937140717694631</v>
      </c>
      <c r="M136" s="28">
        <f t="shared" si="99"/>
        <v>-1.6585925795282996</v>
      </c>
      <c r="N136" s="28">
        <f t="shared" si="100"/>
        <v>-0.47125789265704959</v>
      </c>
      <c r="O136" s="28">
        <f t="shared" si="101"/>
        <v>576.85687975136636</v>
      </c>
      <c r="P136" s="28">
        <f t="shared" si="102"/>
        <v>346.53345719801354</v>
      </c>
      <c r="Q136" s="28">
        <f t="shared" si="103"/>
        <v>-8.9117485776368568</v>
      </c>
      <c r="R136" s="28">
        <f t="shared" si="104"/>
        <v>121.31388948055519</v>
      </c>
      <c r="S136" s="22">
        <f t="shared" si="105"/>
        <v>1465.7707297037919</v>
      </c>
      <c r="T136" s="22">
        <f t="shared" si="106"/>
        <v>1573.7139</v>
      </c>
      <c r="U136" s="28">
        <f t="shared" si="107"/>
        <v>-0.13047516116447339</v>
      </c>
      <c r="V136" s="28">
        <f t="shared" si="108"/>
        <v>1.0568595257067763</v>
      </c>
      <c r="W136" s="28">
        <f t="shared" si="109"/>
        <v>-1.6217380334656128</v>
      </c>
      <c r="X136" s="28">
        <f t="shared" si="110"/>
        <v>-0.43440334659436303</v>
      </c>
      <c r="Y136" s="28">
        <f t="shared" si="111"/>
        <v>594.04071257254157</v>
      </c>
      <c r="Z136" s="28">
        <f t="shared" si="112"/>
        <v>362.75846869944144</v>
      </c>
      <c r="AA136" s="28">
        <f t="shared" si="113"/>
        <v>-9.7429905130043224</v>
      </c>
      <c r="AB136" s="28">
        <f t="shared" si="114"/>
        <v>124.60743690580671</v>
      </c>
      <c r="AC136" s="22">
        <f t="shared" si="115"/>
        <v>1445.4209288417451</v>
      </c>
      <c r="AD136" s="43">
        <f t="shared" si="116"/>
        <v>0.64008784739800262</v>
      </c>
      <c r="AE136" s="22">
        <f t="shared" si="117"/>
        <v>1017.4900431023389</v>
      </c>
      <c r="AF136" s="22">
        <f t="shared" si="118"/>
        <v>438.20190688842558</v>
      </c>
      <c r="AG136" s="30">
        <f t="shared" si="119"/>
        <v>0.69897346283243122</v>
      </c>
    </row>
    <row r="137" spans="1:33" x14ac:dyDescent="0.2">
      <c r="A137" s="35">
        <f>P2_TaskV_Valuation!A137</f>
        <v>46100</v>
      </c>
      <c r="B137" s="36">
        <f>P2_TaskV_Valuation!B137</f>
        <v>1534.66</v>
      </c>
      <c r="C137" s="45">
        <f>P2_TaskV_Valuation!N137</f>
        <v>2.3886728740330928E-2</v>
      </c>
      <c r="D137" s="37">
        <f>P2_TaskV_Valuation!C137</f>
        <v>0.49</v>
      </c>
      <c r="E137" s="46">
        <f>P2_TaskV_Valuation!D137</f>
        <v>1.2493150684931507</v>
      </c>
      <c r="F137" s="47">
        <f>P2_TaskV_Valuation!O137</f>
        <v>1.7886728740330926E-2</v>
      </c>
      <c r="G137" s="47">
        <f>P2_TaskV_Valuation!P137</f>
        <v>0.54768654168712738</v>
      </c>
      <c r="H137" s="47">
        <f>P2_TaskV_Valuation!Q137</f>
        <v>-0.42550300399695573</v>
      </c>
      <c r="I137" s="36">
        <f>P2_TaskV_Valuation!AB137</f>
        <v>1414.0706891687933</v>
      </c>
      <c r="J137" s="22">
        <f t="shared" si="96"/>
        <v>1550.0066000000002</v>
      </c>
      <c r="K137" s="28">
        <f t="shared" si="97"/>
        <v>-0.15074600446646713</v>
      </c>
      <c r="L137" s="28">
        <f t="shared" si="98"/>
        <v>1.025760933983392</v>
      </c>
      <c r="M137" s="28">
        <f t="shared" si="99"/>
        <v>-1.5729793265321492</v>
      </c>
      <c r="N137" s="28">
        <f t="shared" si="100"/>
        <v>-0.39647238808229035</v>
      </c>
      <c r="O137" s="28">
        <f t="shared" si="101"/>
        <v>609.16163689870643</v>
      </c>
      <c r="P137" s="28">
        <f t="shared" si="102"/>
        <v>379.38407857809557</v>
      </c>
      <c r="Q137" s="28">
        <f t="shared" si="103"/>
        <v>-11.000660349027285</v>
      </c>
      <c r="R137" s="28">
        <f t="shared" si="104"/>
        <v>126.42742005095681</v>
      </c>
      <c r="S137" s="22">
        <f t="shared" si="105"/>
        <v>1424.3854957794792</v>
      </c>
      <c r="T137" s="22">
        <f t="shared" si="106"/>
        <v>1519.3134</v>
      </c>
      <c r="U137" s="28">
        <f t="shared" si="107"/>
        <v>-0.18726446016022658</v>
      </c>
      <c r="V137" s="28">
        <f t="shared" si="108"/>
        <v>0.98924247828963252</v>
      </c>
      <c r="W137" s="28">
        <f t="shared" si="109"/>
        <v>-1.5364608708383902</v>
      </c>
      <c r="X137" s="28">
        <f t="shared" si="110"/>
        <v>-0.35995393238853102</v>
      </c>
      <c r="Y137" s="28">
        <f t="shared" si="111"/>
        <v>626.43703621432644</v>
      </c>
      <c r="Z137" s="28">
        <f t="shared" si="112"/>
        <v>396.24746637932293</v>
      </c>
      <c r="AA137" s="28">
        <f t="shared" si="113"/>
        <v>-11.987362081422226</v>
      </c>
      <c r="AB137" s="28">
        <f t="shared" si="114"/>
        <v>129.38890733090773</v>
      </c>
      <c r="AC137" s="22">
        <f t="shared" si="115"/>
        <v>1403.5739189659059</v>
      </c>
      <c r="AD137" s="43">
        <f t="shared" si="116"/>
        <v>0.6780517122220332</v>
      </c>
      <c r="AE137" s="22">
        <f t="shared" si="117"/>
        <v>1040.5788406786655</v>
      </c>
      <c r="AF137" s="22">
        <f t="shared" si="118"/>
        <v>373.49184849012772</v>
      </c>
      <c r="AG137" s="30">
        <f t="shared" si="119"/>
        <v>0.7358746975303827</v>
      </c>
    </row>
    <row r="138" spans="1:33" x14ac:dyDescent="0.2">
      <c r="A138" s="35">
        <f>P2_TaskV_Valuation!A138</f>
        <v>46101</v>
      </c>
      <c r="B138" s="36">
        <f>P2_TaskV_Valuation!B138</f>
        <v>1488.13</v>
      </c>
      <c r="C138" s="45">
        <f>P2_TaskV_Valuation!N138</f>
        <v>2.4849667746105156E-2</v>
      </c>
      <c r="D138" s="37">
        <f>P2_TaskV_Valuation!C138</f>
        <v>0.49</v>
      </c>
      <c r="E138" s="46">
        <f>P2_TaskV_Valuation!D138</f>
        <v>1.2465753424657535</v>
      </c>
      <c r="F138" s="47">
        <f>P2_TaskV_Valuation!O138</f>
        <v>1.8849667746105157E-2</v>
      </c>
      <c r="G138" s="47">
        <f>P2_TaskV_Valuation!P138</f>
        <v>0.54708567859707991</v>
      </c>
      <c r="H138" s="47">
        <f>P2_TaskV_Valuation!Q138</f>
        <v>-0.42149242921239</v>
      </c>
      <c r="I138" s="36">
        <f>P2_TaskV_Valuation!AB138</f>
        <v>1381.7065863479393</v>
      </c>
      <c r="J138" s="22">
        <f t="shared" si="96"/>
        <v>1503.0113000000001</v>
      </c>
      <c r="K138" s="28">
        <f t="shared" si="97"/>
        <v>-0.20568560836798055</v>
      </c>
      <c r="L138" s="28">
        <f t="shared" si="98"/>
        <v>0.97211348526369967</v>
      </c>
      <c r="M138" s="28">
        <f t="shared" si="99"/>
        <v>-1.5169261650196038</v>
      </c>
      <c r="N138" s="28">
        <f t="shared" si="100"/>
        <v>-0.33912707138792397</v>
      </c>
      <c r="O138" s="28">
        <f t="shared" si="101"/>
        <v>633.72159864470609</v>
      </c>
      <c r="P138" s="28">
        <f t="shared" si="102"/>
        <v>403.46468309983004</v>
      </c>
      <c r="Q138" s="28">
        <f t="shared" si="103"/>
        <v>-12.498580117786865</v>
      </c>
      <c r="R138" s="28">
        <f t="shared" si="104"/>
        <v>130.79077112471617</v>
      </c>
      <c r="S138" s="22">
        <f t="shared" si="105"/>
        <v>1392.241741005269</v>
      </c>
      <c r="T138" s="22">
        <f t="shared" si="106"/>
        <v>1473.2487000000001</v>
      </c>
      <c r="U138" s="28">
        <f t="shared" si="107"/>
        <v>-0.24224417220748418</v>
      </c>
      <c r="V138" s="28">
        <f t="shared" si="108"/>
        <v>0.93555492142419594</v>
      </c>
      <c r="W138" s="28">
        <f t="shared" si="109"/>
        <v>-1.4803676011801006</v>
      </c>
      <c r="X138" s="28">
        <f t="shared" si="110"/>
        <v>-0.30256850754842013</v>
      </c>
      <c r="Y138" s="28">
        <f t="shared" si="111"/>
        <v>651.10871025648225</v>
      </c>
      <c r="Z138" s="28">
        <f t="shared" si="112"/>
        <v>420.85488163905529</v>
      </c>
      <c r="AA138" s="28">
        <f t="shared" si="113"/>
        <v>-13.600725377565723</v>
      </c>
      <c r="AB138" s="28">
        <f t="shared" si="114"/>
        <v>133.54418253298206</v>
      </c>
      <c r="AC138" s="22">
        <f t="shared" si="115"/>
        <v>1370.9959857979991</v>
      </c>
      <c r="AD138" s="43">
        <f t="shared" si="116"/>
        <v>0.71384069964552466</v>
      </c>
      <c r="AE138" s="22">
        <f t="shared" si="117"/>
        <v>1062.2877603634947</v>
      </c>
      <c r="AF138" s="22">
        <f t="shared" si="118"/>
        <v>319.41882598444454</v>
      </c>
      <c r="AG138" s="30">
        <f t="shared" si="119"/>
        <v>0.76882296926099403</v>
      </c>
    </row>
    <row r="139" spans="1:33" x14ac:dyDescent="0.2">
      <c r="A139" s="35">
        <f>P2_TaskV_Valuation!A139</f>
        <v>46104</v>
      </c>
      <c r="B139" s="36">
        <f>P2_TaskV_Valuation!B139</f>
        <v>1468.32</v>
      </c>
      <c r="C139" s="45">
        <f>P2_TaskV_Valuation!N139</f>
        <v>2.4541429121659873E-2</v>
      </c>
      <c r="D139" s="37">
        <f>P2_TaskV_Valuation!C139</f>
        <v>0.47799999999999998</v>
      </c>
      <c r="E139" s="46">
        <f>P2_TaskV_Valuation!D139</f>
        <v>1.2383561643835617</v>
      </c>
      <c r="F139" s="47">
        <f>P2_TaskV_Valuation!O139</f>
        <v>1.8541429121659875E-2</v>
      </c>
      <c r="G139" s="47">
        <f>P2_TaskV_Valuation!P139</f>
        <v>0.53192534237711753</v>
      </c>
      <c r="H139" s="47">
        <f>P2_TaskV_Valuation!Q139</f>
        <v>-0.41885020779722049</v>
      </c>
      <c r="I139" s="36">
        <f>P2_TaskV_Valuation!AB139</f>
        <v>1381.983252797628</v>
      </c>
      <c r="J139" s="22">
        <f t="shared" si="96"/>
        <v>1483.0031999999999</v>
      </c>
      <c r="K139" s="28">
        <f t="shared" si="97"/>
        <v>-0.25312721713107866</v>
      </c>
      <c r="L139" s="28">
        <f t="shared" si="98"/>
        <v>0.95824017798296224</v>
      </c>
      <c r="M139" s="28">
        <f t="shared" si="99"/>
        <v>-1.5513509687172951</v>
      </c>
      <c r="N139" s="28">
        <f t="shared" si="100"/>
        <v>-0.33998357360325382</v>
      </c>
      <c r="O139" s="28">
        <f t="shared" si="101"/>
        <v>637.56358356863927</v>
      </c>
      <c r="P139" s="28">
        <f t="shared" si="102"/>
        <v>401.09709041742099</v>
      </c>
      <c r="Q139" s="28">
        <f t="shared" si="103"/>
        <v>-11.304499745812151</v>
      </c>
      <c r="R139" s="28">
        <f t="shared" si="104"/>
        <v>134.89962846912675</v>
      </c>
      <c r="S139" s="22">
        <f t="shared" si="105"/>
        <v>1392.8310501277529</v>
      </c>
      <c r="T139" s="22">
        <f t="shared" si="106"/>
        <v>1453.6368</v>
      </c>
      <c r="U139" s="28">
        <f t="shared" si="107"/>
        <v>-0.2907277319275513</v>
      </c>
      <c r="V139" s="28">
        <f t="shared" si="108"/>
        <v>0.92063966318648993</v>
      </c>
      <c r="W139" s="28">
        <f t="shared" si="109"/>
        <v>-1.5137504539208226</v>
      </c>
      <c r="X139" s="28">
        <f t="shared" si="110"/>
        <v>-0.30238305880678151</v>
      </c>
      <c r="Y139" s="28">
        <f t="shared" si="111"/>
        <v>655.26084831397441</v>
      </c>
      <c r="Z139" s="28">
        <f t="shared" si="112"/>
        <v>418.88348001383554</v>
      </c>
      <c r="AA139" s="28">
        <f t="shared" si="113"/>
        <v>-12.344384067436046</v>
      </c>
      <c r="AB139" s="28">
        <f t="shared" si="114"/>
        <v>137.95123437629292</v>
      </c>
      <c r="AC139" s="22">
        <f t="shared" si="115"/>
        <v>1370.953170302548</v>
      </c>
      <c r="AD139" s="43">
        <f t="shared" si="116"/>
        <v>0.74499699742579617</v>
      </c>
      <c r="AE139" s="22">
        <f t="shared" si="117"/>
        <v>1093.893991260245</v>
      </c>
      <c r="AF139" s="22">
        <f t="shared" si="118"/>
        <v>288.08926153738298</v>
      </c>
      <c r="AG139" s="30">
        <f t="shared" si="119"/>
        <v>0.79153925277011328</v>
      </c>
    </row>
    <row r="140" spans="1:33" x14ac:dyDescent="0.2">
      <c r="A140" s="35">
        <f>P2_TaskV_Valuation!A140</f>
        <v>46105</v>
      </c>
      <c r="B140" s="36">
        <f>P2_TaskV_Valuation!B140</f>
        <v>1456.94</v>
      </c>
      <c r="C140" s="45">
        <f>P2_TaskV_Valuation!N140</f>
        <v>2.5211166406914211E-2</v>
      </c>
      <c r="D140" s="37">
        <f>P2_TaskV_Valuation!C140</f>
        <v>0.46400000000000002</v>
      </c>
      <c r="E140" s="46">
        <f>P2_TaskV_Valuation!D140</f>
        <v>1.2356164383561643</v>
      </c>
      <c r="F140" s="47">
        <f>P2_TaskV_Valuation!O140</f>
        <v>1.9211166406914212E-2</v>
      </c>
      <c r="G140" s="47">
        <f>P2_TaskV_Valuation!P140</f>
        <v>0.51577444364017178</v>
      </c>
      <c r="H140" s="47">
        <f>P2_TaskV_Valuation!Q140</f>
        <v>-0.41076858647204678</v>
      </c>
      <c r="I140" s="36">
        <f>P2_TaskV_Valuation!AB140</f>
        <v>1388.5863879315423</v>
      </c>
      <c r="J140" s="22">
        <f t="shared" si="96"/>
        <v>1471.5094000000001</v>
      </c>
      <c r="K140" s="28">
        <f t="shared" si="97"/>
        <v>-0.29103658456122061</v>
      </c>
      <c r="L140" s="28">
        <f t="shared" si="98"/>
        <v>0.95826342309880752</v>
      </c>
      <c r="M140" s="28">
        <f t="shared" si="99"/>
        <v>-1.5997424217834513</v>
      </c>
      <c r="N140" s="28">
        <f t="shared" si="100"/>
        <v>-0.35044241412342325</v>
      </c>
      <c r="O140" s="28">
        <f t="shared" si="101"/>
        <v>634.21087524826339</v>
      </c>
      <c r="P140" s="28">
        <f t="shared" si="102"/>
        <v>391.1525824882857</v>
      </c>
      <c r="Q140" s="28">
        <f t="shared" si="103"/>
        <v>-9.8225528839661536</v>
      </c>
      <c r="R140" s="28">
        <f t="shared" si="104"/>
        <v>137.96423772732635</v>
      </c>
      <c r="S140" s="22">
        <f t="shared" si="105"/>
        <v>1399.7183705918665</v>
      </c>
      <c r="T140" s="22">
        <f t="shared" si="106"/>
        <v>1442.3706</v>
      </c>
      <c r="U140" s="28">
        <f t="shared" si="107"/>
        <v>-0.32981451734422407</v>
      </c>
      <c r="V140" s="28">
        <f t="shared" si="108"/>
        <v>0.91948549031580395</v>
      </c>
      <c r="W140" s="28">
        <f t="shared" si="109"/>
        <v>-1.5609644890004479</v>
      </c>
      <c r="X140" s="28">
        <f t="shared" si="110"/>
        <v>-0.31166448134041969</v>
      </c>
      <c r="Y140" s="28">
        <f t="shared" si="111"/>
        <v>652.19698008361661</v>
      </c>
      <c r="Z140" s="28">
        <f t="shared" si="112"/>
        <v>409.20779178117022</v>
      </c>
      <c r="AA140" s="28">
        <f t="shared" si="113"/>
        <v>-10.774684192380072</v>
      </c>
      <c r="AB140" s="28">
        <f t="shared" si="114"/>
        <v>141.41308955013079</v>
      </c>
      <c r="AC140" s="22">
        <f t="shared" si="115"/>
        <v>1377.2621781677635</v>
      </c>
      <c r="AD140" s="43">
        <f t="shared" si="116"/>
        <v>0.77066291076169691</v>
      </c>
      <c r="AE140" s="22">
        <f t="shared" si="117"/>
        <v>1122.8096212051466</v>
      </c>
      <c r="AF140" s="22">
        <f t="shared" si="118"/>
        <v>265.77676672639564</v>
      </c>
      <c r="AG140" s="30">
        <f t="shared" si="119"/>
        <v>0.80859904069612809</v>
      </c>
    </row>
    <row r="141" spans="1:33" x14ac:dyDescent="0.2">
      <c r="A141" s="35">
        <f>P2_TaskV_Valuation!A141</f>
        <v>46106</v>
      </c>
      <c r="B141" s="36">
        <f>P2_TaskV_Valuation!B141</f>
        <v>1471.79</v>
      </c>
      <c r="C141" s="45">
        <f>P2_TaskV_Valuation!N141</f>
        <v>2.4992465694191907E-2</v>
      </c>
      <c r="D141" s="37">
        <f>P2_TaskV_Valuation!C141</f>
        <v>0.45200000000000001</v>
      </c>
      <c r="E141" s="46">
        <f>P2_TaskV_Valuation!D141</f>
        <v>1.2328767123287672</v>
      </c>
      <c r="F141" s="47">
        <f>P2_TaskV_Valuation!O141</f>
        <v>1.8992465694191905E-2</v>
      </c>
      <c r="G141" s="47">
        <f>P2_TaskV_Valuation!P141</f>
        <v>0.5018781165139764</v>
      </c>
      <c r="H141" s="47">
        <f>P2_TaskV_Valuation!Q141</f>
        <v>-0.40703820926564388</v>
      </c>
      <c r="I141" s="36">
        <f>P2_TaskV_Valuation!AB141</f>
        <v>1414.0525670815857</v>
      </c>
      <c r="J141" s="22">
        <f t="shared" si="96"/>
        <v>1486.5079000000001</v>
      </c>
      <c r="K141" s="28">
        <f t="shared" si="97"/>
        <v>-0.29361971998818304</v>
      </c>
      <c r="L141" s="28">
        <f t="shared" si="98"/>
        <v>0.99027171737152719</v>
      </c>
      <c r="M141" s="28">
        <f t="shared" si="99"/>
        <v>-1.678974061334211</v>
      </c>
      <c r="N141" s="28">
        <f t="shared" si="100"/>
        <v>-0.39508262397450078</v>
      </c>
      <c r="O141" s="28">
        <f t="shared" si="101"/>
        <v>617.75965306664523</v>
      </c>
      <c r="P141" s="28">
        <f t="shared" si="102"/>
        <v>368.70420085373354</v>
      </c>
      <c r="Q141" s="28">
        <f t="shared" si="103"/>
        <v>-7.9399096646856933</v>
      </c>
      <c r="R141" s="28">
        <f t="shared" si="104"/>
        <v>137.36427849499</v>
      </c>
      <c r="S141" s="22">
        <f t="shared" si="105"/>
        <v>1425.306094512368</v>
      </c>
      <c r="T141" s="22">
        <f t="shared" si="106"/>
        <v>1457.0720999999999</v>
      </c>
      <c r="U141" s="28">
        <f t="shared" si="107"/>
        <v>-0.33347136135002109</v>
      </c>
      <c r="V141" s="28">
        <f t="shared" si="108"/>
        <v>0.95042007600968947</v>
      </c>
      <c r="W141" s="28">
        <f t="shared" si="109"/>
        <v>-1.6391224199723731</v>
      </c>
      <c r="X141" s="28">
        <f t="shared" si="110"/>
        <v>-0.35523098261266273</v>
      </c>
      <c r="Y141" s="28">
        <f t="shared" si="111"/>
        <v>635.96398930337261</v>
      </c>
      <c r="Z141" s="28">
        <f t="shared" si="112"/>
        <v>386.67528298094658</v>
      </c>
      <c r="AA141" s="28">
        <f t="shared" si="113"/>
        <v>-8.7548810873972229</v>
      </c>
      <c r="AB141" s="28">
        <f t="shared" si="114"/>
        <v>141.29189094936191</v>
      </c>
      <c r="AC141" s="22">
        <f t="shared" si="115"/>
        <v>1402.5924285080719</v>
      </c>
      <c r="AD141" s="43">
        <f t="shared" si="116"/>
        <v>0.77163406478832242</v>
      </c>
      <c r="AE141" s="22">
        <f t="shared" si="117"/>
        <v>1135.6833002148051</v>
      </c>
      <c r="AF141" s="22">
        <f t="shared" si="118"/>
        <v>278.36926686678066</v>
      </c>
      <c r="AG141" s="30">
        <f t="shared" si="119"/>
        <v>0.80314079310269393</v>
      </c>
    </row>
    <row r="142" spans="1:33" x14ac:dyDescent="0.2">
      <c r="A142" s="35">
        <f>P2_TaskV_Valuation!A142</f>
        <v>46107</v>
      </c>
      <c r="B142" s="36">
        <f>P2_TaskV_Valuation!B142</f>
        <v>1421.79</v>
      </c>
      <c r="C142" s="45">
        <f>P2_TaskV_Valuation!N142</f>
        <v>2.5534388042046309E-2</v>
      </c>
      <c r="D142" s="37">
        <f>P2_TaskV_Valuation!C142</f>
        <v>0.45800000000000002</v>
      </c>
      <c r="E142" s="46">
        <f>P2_TaskV_Valuation!D142</f>
        <v>1.2301369863013698</v>
      </c>
      <c r="F142" s="47">
        <f>P2_TaskV_Valuation!O142</f>
        <v>1.9534388042046311E-2</v>
      </c>
      <c r="G142" s="47">
        <f>P2_TaskV_Valuation!P142</f>
        <v>0.50797485645897933</v>
      </c>
      <c r="H142" s="47">
        <f>P2_TaskV_Valuation!Q142</f>
        <v>-0.4068744491807636</v>
      </c>
      <c r="I142" s="36">
        <f>P2_TaskV_Valuation!AB142</f>
        <v>1368.2056565731248</v>
      </c>
      <c r="J142" s="22">
        <f t="shared" si="96"/>
        <v>1436.0079000000001</v>
      </c>
      <c r="K142" s="28">
        <f t="shared" si="97"/>
        <v>-0.35086580695384445</v>
      </c>
      <c r="L142" s="28">
        <f t="shared" si="98"/>
        <v>0.91761630037374009</v>
      </c>
      <c r="M142" s="28">
        <f t="shared" si="99"/>
        <v>-1.5835126746222152</v>
      </c>
      <c r="N142" s="28">
        <f t="shared" si="100"/>
        <v>-0.3150305672946308</v>
      </c>
      <c r="O142" s="28">
        <f t="shared" si="101"/>
        <v>651.56741552310075</v>
      </c>
      <c r="P142" s="28">
        <f t="shared" si="102"/>
        <v>405.23817365565856</v>
      </c>
      <c r="Q142" s="28">
        <f t="shared" si="103"/>
        <v>-10.087735610350535</v>
      </c>
      <c r="R142" s="28">
        <f t="shared" si="104"/>
        <v>143.1782543221787</v>
      </c>
      <c r="S142" s="22">
        <f t="shared" si="105"/>
        <v>1379.6506344101208</v>
      </c>
      <c r="T142" s="22">
        <f t="shared" si="106"/>
        <v>1407.5720999999999</v>
      </c>
      <c r="U142" s="28">
        <f t="shared" si="107"/>
        <v>-0.39023914689844624</v>
      </c>
      <c r="V142" s="28">
        <f t="shared" si="108"/>
        <v>0.87824296042913841</v>
      </c>
      <c r="W142" s="28">
        <f t="shared" si="109"/>
        <v>-1.5441393346776133</v>
      </c>
      <c r="X142" s="28">
        <f t="shared" si="110"/>
        <v>-0.27565722735002912</v>
      </c>
      <c r="Y142" s="28">
        <f t="shared" si="111"/>
        <v>669.75898856574088</v>
      </c>
      <c r="Z142" s="28">
        <f t="shared" si="112"/>
        <v>423.85048938528877</v>
      </c>
      <c r="AA142" s="28">
        <f t="shared" si="113"/>
        <v>-11.076904133417898</v>
      </c>
      <c r="AB142" s="28">
        <f t="shared" si="114"/>
        <v>146.65759319108571</v>
      </c>
      <c r="AC142" s="22">
        <f t="shared" si="115"/>
        <v>1356.5698112885166</v>
      </c>
      <c r="AD142" s="43">
        <f t="shared" si="116"/>
        <v>0.81168186306009416</v>
      </c>
      <c r="AE142" s="22">
        <f t="shared" si="117"/>
        <v>1154.0411560802113</v>
      </c>
      <c r="AF142" s="22">
        <f t="shared" si="118"/>
        <v>214.16450049291348</v>
      </c>
      <c r="AG142" s="30">
        <f t="shared" si="119"/>
        <v>0.84347053422559259</v>
      </c>
    </row>
    <row r="143" spans="1:33" x14ac:dyDescent="0.2">
      <c r="A143" s="35">
        <f>P2_TaskV_Valuation!A143</f>
        <v>46108</v>
      </c>
      <c r="B143" s="36">
        <f>P2_TaskV_Valuation!B143</f>
        <v>1365.85</v>
      </c>
      <c r="C143" s="45">
        <f>P2_TaskV_Valuation!N143</f>
        <v>2.5601774549245278E-2</v>
      </c>
      <c r="D143" s="37">
        <f>P2_TaskV_Valuation!C143</f>
        <v>0.47099999999999997</v>
      </c>
      <c r="E143" s="46">
        <f>P2_TaskV_Valuation!D143</f>
        <v>1.2273972602739727</v>
      </c>
      <c r="F143" s="47">
        <f>P2_TaskV_Valuation!O143</f>
        <v>1.9601774549245277E-2</v>
      </c>
      <c r="G143" s="47">
        <f>P2_TaskV_Valuation!P143</f>
        <v>0.52181130269134479</v>
      </c>
      <c r="H143" s="47">
        <f>P2_TaskV_Valuation!Q143</f>
        <v>-0.41164043369239556</v>
      </c>
      <c r="I143" s="36">
        <f>P2_TaskV_Valuation!AB143</f>
        <v>1309.376418584767</v>
      </c>
      <c r="J143" s="22">
        <f t="shared" si="96"/>
        <v>1379.5084999999999</v>
      </c>
      <c r="K143" s="28">
        <f t="shared" si="97"/>
        <v>-0.40477701608816546</v>
      </c>
      <c r="L143" s="28">
        <f t="shared" si="98"/>
        <v>0.83006978210711102</v>
      </c>
      <c r="M143" s="28">
        <f t="shared" si="99"/>
        <v>-1.4508912368106162</v>
      </c>
      <c r="N143" s="28">
        <f t="shared" si="100"/>
        <v>-0.21604443861533978</v>
      </c>
      <c r="O143" s="28">
        <f t="shared" si="101"/>
        <v>695.01257399704468</v>
      </c>
      <c r="P143" s="28">
        <f t="shared" si="102"/>
        <v>456.11312972093236</v>
      </c>
      <c r="Q143" s="28">
        <f t="shared" si="103"/>
        <v>-14.030017229690522</v>
      </c>
      <c r="R143" s="28">
        <f t="shared" si="104"/>
        <v>147.14840901814017</v>
      </c>
      <c r="S143" s="22">
        <f t="shared" si="105"/>
        <v>1320.8385253122196</v>
      </c>
      <c r="T143" s="22">
        <f t="shared" si="106"/>
        <v>1352.1914999999999</v>
      </c>
      <c r="U143" s="28">
        <f t="shared" si="107"/>
        <v>-0.44310632517655052</v>
      </c>
      <c r="V143" s="28">
        <f t="shared" si="108"/>
        <v>0.79174047301872585</v>
      </c>
      <c r="W143" s="28">
        <f t="shared" si="109"/>
        <v>-1.412561927722231</v>
      </c>
      <c r="X143" s="28">
        <f t="shared" si="110"/>
        <v>-0.17771512952695445</v>
      </c>
      <c r="Y143" s="28">
        <f t="shared" si="111"/>
        <v>713.02239565330888</v>
      </c>
      <c r="Z143" s="28">
        <f t="shared" si="112"/>
        <v>475.2728714409335</v>
      </c>
      <c r="AA143" s="28">
        <f t="shared" si="113"/>
        <v>-15.303541010104048</v>
      </c>
      <c r="AB143" s="28">
        <f t="shared" si="114"/>
        <v>149.80634878404283</v>
      </c>
      <c r="AC143" s="22">
        <f t="shared" si="115"/>
        <v>1297.7473200459024</v>
      </c>
      <c r="AD143" s="43">
        <f t="shared" si="116"/>
        <v>0.84530531413834875</v>
      </c>
      <c r="AE143" s="22">
        <f t="shared" si="117"/>
        <v>1154.5602633158635</v>
      </c>
      <c r="AF143" s="22">
        <f t="shared" si="118"/>
        <v>154.81615526890346</v>
      </c>
      <c r="AG143" s="30">
        <f t="shared" si="119"/>
        <v>0.88176344626991543</v>
      </c>
    </row>
    <row r="144" spans="1:33" x14ac:dyDescent="0.2">
      <c r="A144" s="35">
        <f>P2_TaskV_Valuation!A144</f>
        <v>46111</v>
      </c>
      <c r="B144" s="36">
        <f>P2_TaskV_Valuation!B144</f>
        <v>1395.55</v>
      </c>
      <c r="C144" s="45">
        <f>P2_TaskV_Valuation!N144</f>
        <v>2.5367890447813041E-2</v>
      </c>
      <c r="D144" s="37">
        <f>P2_TaskV_Valuation!C144</f>
        <v>0.46400000000000002</v>
      </c>
      <c r="E144" s="46">
        <f>P2_TaskV_Valuation!D144</f>
        <v>1.2191780821917808</v>
      </c>
      <c r="F144" s="47">
        <f>P2_TaskV_Valuation!O144</f>
        <v>1.9367890447813042E-2</v>
      </c>
      <c r="G144" s="47">
        <f>P2_TaskV_Valuation!P144</f>
        <v>0.51233208408566566</v>
      </c>
      <c r="H144" s="47">
        <f>P2_TaskV_Valuation!Q144</f>
        <v>-0.41004063964117748</v>
      </c>
      <c r="I144" s="36">
        <f>P2_TaskV_Valuation!AB144</f>
        <v>1342.8576698804918</v>
      </c>
      <c r="J144" s="22">
        <f t="shared" si="96"/>
        <v>1409.5055</v>
      </c>
      <c r="K144" s="28">
        <f t="shared" si="97"/>
        <v>-0.38071645957259065</v>
      </c>
      <c r="L144" s="28">
        <f t="shared" si="98"/>
        <v>0.8769775955254151</v>
      </c>
      <c r="M144" s="28">
        <f t="shared" si="99"/>
        <v>-1.5301614333864575</v>
      </c>
      <c r="N144" s="28">
        <f t="shared" si="100"/>
        <v>-0.27246737828845141</v>
      </c>
      <c r="O144" s="28">
        <f t="shared" si="101"/>
        <v>671.47072349964481</v>
      </c>
      <c r="P144" s="28">
        <f t="shared" si="102"/>
        <v>427.38640017093911</v>
      </c>
      <c r="Q144" s="28">
        <f t="shared" si="103"/>
        <v>-11.533093522309947</v>
      </c>
      <c r="R144" s="28">
        <f t="shared" si="104"/>
        <v>145.80264292373016</v>
      </c>
      <c r="S144" s="22">
        <f t="shared" si="105"/>
        <v>1354.3686655323727</v>
      </c>
      <c r="T144" s="22">
        <f t="shared" si="106"/>
        <v>1381.5944999999999</v>
      </c>
      <c r="U144" s="28">
        <f t="shared" si="107"/>
        <v>-0.41975494130727237</v>
      </c>
      <c r="V144" s="28">
        <f t="shared" si="108"/>
        <v>0.83793911379073327</v>
      </c>
      <c r="W144" s="28">
        <f t="shared" si="109"/>
        <v>-1.4911229516517759</v>
      </c>
      <c r="X144" s="28">
        <f t="shared" si="110"/>
        <v>-0.23342889655377014</v>
      </c>
      <c r="Y144" s="28">
        <f t="shared" si="111"/>
        <v>689.63235175812179</v>
      </c>
      <c r="Z144" s="28">
        <f t="shared" si="112"/>
        <v>446.32047834656868</v>
      </c>
      <c r="AA144" s="28">
        <f t="shared" si="113"/>
        <v>-12.631508836682706</v>
      </c>
      <c r="AB144" s="28">
        <f t="shared" si="114"/>
        <v>148.97327523280171</v>
      </c>
      <c r="AC144" s="22">
        <f t="shared" si="115"/>
        <v>1331.1655397332986</v>
      </c>
      <c r="AD144" s="43">
        <f t="shared" si="116"/>
        <v>0.8313254917084334</v>
      </c>
      <c r="AE144" s="22">
        <f t="shared" si="117"/>
        <v>1160.1562899537041</v>
      </c>
      <c r="AF144" s="22">
        <f t="shared" si="118"/>
        <v>182.70137992678769</v>
      </c>
      <c r="AG144" s="30">
        <f t="shared" si="119"/>
        <v>0.86394583430197236</v>
      </c>
    </row>
    <row r="145" spans="1:33" x14ac:dyDescent="0.2">
      <c r="A145" s="35">
        <f>P2_TaskV_Valuation!A145</f>
        <v>46112</v>
      </c>
      <c r="B145" s="36">
        <f>P2_TaskV_Valuation!B145</f>
        <v>1430.2</v>
      </c>
      <c r="C145" s="45">
        <f>P2_TaskV_Valuation!N145</f>
        <v>2.5382268692210226E-2</v>
      </c>
      <c r="D145" s="37">
        <f>P2_TaskV_Valuation!C145</f>
        <v>0.46</v>
      </c>
      <c r="E145" s="46">
        <f>P2_TaskV_Valuation!D145</f>
        <v>1.2164383561643837</v>
      </c>
      <c r="F145" s="47">
        <f>P2_TaskV_Valuation!O145</f>
        <v>1.9382268692210228E-2</v>
      </c>
      <c r="G145" s="47">
        <f>P2_TaskV_Valuation!P145</f>
        <v>0.50734441572208477</v>
      </c>
      <c r="H145" s="47">
        <f>P2_TaskV_Valuation!Q145</f>
        <v>-0.40840137669087795</v>
      </c>
      <c r="I145" s="36">
        <f>P2_TaskV_Valuation!AB145</f>
        <v>1375.9122783017306</v>
      </c>
      <c r="J145" s="22">
        <f t="shared" si="96"/>
        <v>1444.502</v>
      </c>
      <c r="K145" s="28">
        <f t="shared" si="97"/>
        <v>-0.34120025087762679</v>
      </c>
      <c r="L145" s="28">
        <f t="shared" si="98"/>
        <v>0.92885810873479446</v>
      </c>
      <c r="M145" s="28">
        <f t="shared" si="99"/>
        <v>-1.5986279525777034</v>
      </c>
      <c r="N145" s="28">
        <f t="shared" si="100"/>
        <v>-0.32856959296528182</v>
      </c>
      <c r="O145" s="28">
        <f t="shared" si="101"/>
        <v>646.62986701723287</v>
      </c>
      <c r="P145" s="28">
        <f t="shared" si="102"/>
        <v>399.83269324801893</v>
      </c>
      <c r="Q145" s="28">
        <f t="shared" si="103"/>
        <v>-9.7321063470975417</v>
      </c>
      <c r="R145" s="28">
        <f t="shared" si="104"/>
        <v>142.29747687582011</v>
      </c>
      <c r="S145" s="22">
        <f t="shared" si="105"/>
        <v>1387.3293820072529</v>
      </c>
      <c r="T145" s="22">
        <f t="shared" si="106"/>
        <v>1415.8980000000001</v>
      </c>
      <c r="U145" s="28">
        <f t="shared" si="107"/>
        <v>-0.38062251726485657</v>
      </c>
      <c r="V145" s="28">
        <f t="shared" si="108"/>
        <v>0.88943584234756456</v>
      </c>
      <c r="W145" s="28">
        <f t="shared" si="109"/>
        <v>-1.5592056861904737</v>
      </c>
      <c r="X145" s="28">
        <f t="shared" si="110"/>
        <v>-0.28914732657805226</v>
      </c>
      <c r="Y145" s="28">
        <f t="shared" si="111"/>
        <v>664.82839866975394</v>
      </c>
      <c r="Z145" s="28">
        <f t="shared" si="112"/>
        <v>418.35280070173917</v>
      </c>
      <c r="AA145" s="28">
        <f t="shared" si="113"/>
        <v>-10.692077772382227</v>
      </c>
      <c r="AB145" s="28">
        <f t="shared" si="114"/>
        <v>145.84484553546696</v>
      </c>
      <c r="AC145" s="22">
        <f t="shared" si="115"/>
        <v>1364.3019344686011</v>
      </c>
      <c r="AD145" s="43">
        <f t="shared" si="116"/>
        <v>0.80504291492979341</v>
      </c>
      <c r="AE145" s="22">
        <f t="shared" si="117"/>
        <v>1151.3723769325907</v>
      </c>
      <c r="AF145" s="22">
        <f t="shared" si="118"/>
        <v>224.5399013691399</v>
      </c>
      <c r="AG145" s="30">
        <f t="shared" si="119"/>
        <v>0.8368065283592887</v>
      </c>
    </row>
    <row r="146" spans="1:33" x14ac:dyDescent="0.2">
      <c r="A146" s="35">
        <f>P2_TaskV_Valuation!A146</f>
        <v>46113</v>
      </c>
      <c r="B146" s="36">
        <f>P2_TaskV_Valuation!B146</f>
        <v>1565.85</v>
      </c>
      <c r="C146" s="45">
        <f>P2_TaskV_Valuation!N146</f>
        <v>2.5032322133618702E-2</v>
      </c>
      <c r="D146" s="37">
        <f>P2_TaskV_Valuation!C146</f>
        <v>0.56799999999999995</v>
      </c>
      <c r="E146" s="46">
        <f>P2_TaskV_Valuation!D146</f>
        <v>1.2136986301369863</v>
      </c>
      <c r="F146" s="47">
        <f>P2_TaskV_Valuation!O146</f>
        <v>1.9032322133618704E-2</v>
      </c>
      <c r="G146" s="47">
        <f>P2_TaskV_Valuation!P146</f>
        <v>0.62575419043687996</v>
      </c>
      <c r="H146" s="47">
        <f>P2_TaskV_Valuation!Q146</f>
        <v>-0.4410077299468772</v>
      </c>
      <c r="I146" s="36">
        <f>P2_TaskV_Valuation!AB146</f>
        <v>1361.0130322184777</v>
      </c>
      <c r="J146" s="22">
        <f t="shared" si="96"/>
        <v>1581.5084999999999</v>
      </c>
      <c r="K146" s="28">
        <f t="shared" si="97"/>
        <v>-2.5384385246946417E-2</v>
      </c>
      <c r="L146" s="28">
        <f t="shared" si="98"/>
        <v>1.0043442625798391</v>
      </c>
      <c r="M146" s="28">
        <f t="shared" si="99"/>
        <v>-1.3344893995914937</v>
      </c>
      <c r="N146" s="28">
        <f t="shared" si="100"/>
        <v>-0.3047607517647079</v>
      </c>
      <c r="O146" s="28">
        <f t="shared" si="101"/>
        <v>639.68872058179466</v>
      </c>
      <c r="P146" s="28">
        <f t="shared" si="102"/>
        <v>436.44828375426397</v>
      </c>
      <c r="Q146" s="28">
        <f t="shared" si="103"/>
        <v>-20.839062405104897</v>
      </c>
      <c r="R146" s="28">
        <f t="shared" si="104"/>
        <v>112.50779903998688</v>
      </c>
      <c r="S146" s="22">
        <f t="shared" si="105"/>
        <v>1370.3552346885785</v>
      </c>
      <c r="T146" s="22">
        <f t="shared" si="106"/>
        <v>1550.1914999999999</v>
      </c>
      <c r="U146" s="28">
        <f t="shared" si="107"/>
        <v>-5.7346882681771016E-2</v>
      </c>
      <c r="V146" s="28">
        <f t="shared" si="108"/>
        <v>0.97238176514501462</v>
      </c>
      <c r="W146" s="28">
        <f t="shared" si="109"/>
        <v>-1.3025269021566692</v>
      </c>
      <c r="X146" s="28">
        <f t="shared" si="110"/>
        <v>-0.27279825432988342</v>
      </c>
      <c r="Y146" s="28">
        <f t="shared" si="111"/>
        <v>655.74583728112236</v>
      </c>
      <c r="Z146" s="28">
        <f t="shared" si="112"/>
        <v>452.47183091294545</v>
      </c>
      <c r="AA146" s="28">
        <f t="shared" si="113"/>
        <v>-22.32156589141448</v>
      </c>
      <c r="AB146" s="28">
        <f t="shared" si="114"/>
        <v>113.82973316880162</v>
      </c>
      <c r="AC146" s="22">
        <f t="shared" si="115"/>
        <v>1351.5272499147727</v>
      </c>
      <c r="AD146" s="43">
        <f t="shared" si="116"/>
        <v>0.60120652597010693</v>
      </c>
      <c r="AE146" s="22">
        <f t="shared" si="117"/>
        <v>941.3992386902919</v>
      </c>
      <c r="AF146" s="22">
        <f t="shared" si="118"/>
        <v>419.61379352818585</v>
      </c>
      <c r="AG146" s="30">
        <f t="shared" si="119"/>
        <v>0.69169009877575738</v>
      </c>
    </row>
    <row r="147" spans="1:33" x14ac:dyDescent="0.2">
      <c r="A147" s="35">
        <f>P2_TaskV_Valuation!A147</f>
        <v>46114</v>
      </c>
      <c r="B147" s="36">
        <f>P2_TaskV_Valuation!B147</f>
        <v>1554.96</v>
      </c>
      <c r="C147" s="45">
        <f>P2_TaskV_Valuation!N147</f>
        <v>2.5499256017532411E-2</v>
      </c>
      <c r="D147" s="37">
        <f>P2_TaskV_Valuation!C147</f>
        <v>0.55200000000000005</v>
      </c>
      <c r="E147" s="46">
        <f>P2_TaskV_Valuation!D147</f>
        <v>1.210958904109589</v>
      </c>
      <c r="F147" s="47">
        <f>P2_TaskV_Valuation!O147</f>
        <v>1.9499256017532413E-2</v>
      </c>
      <c r="G147" s="47">
        <f>P2_TaskV_Valuation!P147</f>
        <v>0.60744055010989206</v>
      </c>
      <c r="H147" s="47">
        <f>P2_TaskV_Valuation!Q147</f>
        <v>-0.43600590731486161</v>
      </c>
      <c r="I147" s="36">
        <f>P2_TaskV_Valuation!AB147</f>
        <v>1370.5450900499875</v>
      </c>
      <c r="J147" s="22">
        <f t="shared" si="96"/>
        <v>1570.5096000000001</v>
      </c>
      <c r="K147" s="28">
        <f t="shared" si="97"/>
        <v>-5.5383558467028693E-2</v>
      </c>
      <c r="L147" s="28">
        <f t="shared" si="98"/>
        <v>1.0053902345797852</v>
      </c>
      <c r="M147" s="28">
        <f t="shared" si="99"/>
        <v>-1.380978263787819</v>
      </c>
      <c r="N147" s="28">
        <f t="shared" si="100"/>
        <v>-0.32020447074100533</v>
      </c>
      <c r="O147" s="28">
        <f t="shared" si="101"/>
        <v>633.1717344935945</v>
      </c>
      <c r="P147" s="28">
        <f t="shared" si="102"/>
        <v>424.32869493800536</v>
      </c>
      <c r="Q147" s="28">
        <f t="shared" si="103"/>
        <v>-18.395220777450604</v>
      </c>
      <c r="R147" s="28">
        <f t="shared" si="104"/>
        <v>116.35998725189665</v>
      </c>
      <c r="S147" s="22">
        <f t="shared" si="105"/>
        <v>1380.1027409249098</v>
      </c>
      <c r="T147" s="22">
        <f t="shared" si="106"/>
        <v>1539.4104</v>
      </c>
      <c r="U147" s="28">
        <f t="shared" si="107"/>
        <v>-8.8309688774021344E-2</v>
      </c>
      <c r="V147" s="28">
        <f t="shared" si="108"/>
        <v>0.97246410427279228</v>
      </c>
      <c r="W147" s="28">
        <f t="shared" si="109"/>
        <v>-1.3480521334808264</v>
      </c>
      <c r="X147" s="28">
        <f t="shared" si="110"/>
        <v>-0.28727834043401257</v>
      </c>
      <c r="Y147" s="28">
        <f t="shared" si="111"/>
        <v>649.49222215025566</v>
      </c>
      <c r="Z147" s="28">
        <f t="shared" si="112"/>
        <v>440.55994232815311</v>
      </c>
      <c r="AA147" s="28">
        <f t="shared" si="113"/>
        <v>-19.771858252840772</v>
      </c>
      <c r="AB147" s="28">
        <f t="shared" si="114"/>
        <v>118.0181785819405</v>
      </c>
      <c r="AC147" s="22">
        <f t="shared" si="115"/>
        <v>1360.836664729328</v>
      </c>
      <c r="AD147" s="43">
        <f t="shared" si="116"/>
        <v>0.61950391635738922</v>
      </c>
      <c r="AE147" s="22">
        <f t="shared" si="117"/>
        <v>963.30380977908601</v>
      </c>
      <c r="AF147" s="22">
        <f t="shared" si="118"/>
        <v>407.24128027090148</v>
      </c>
      <c r="AG147" s="30">
        <f t="shared" si="119"/>
        <v>0.70286181518037594</v>
      </c>
    </row>
    <row r="148" spans="1:33" x14ac:dyDescent="0.2">
      <c r="A148" s="35">
        <f>P2_TaskV_Valuation!A148</f>
        <v>46119</v>
      </c>
      <c r="B148" s="36">
        <f>P2_TaskV_Valuation!B148</f>
        <v>1515.85</v>
      </c>
      <c r="C148" s="45">
        <f>P2_TaskV_Valuation!N148</f>
        <v>2.5947222192549191E-2</v>
      </c>
      <c r="D148" s="37">
        <f>P2_TaskV_Valuation!C148</f>
        <v>0.54400000000000004</v>
      </c>
      <c r="E148" s="46">
        <f>P2_TaskV_Valuation!D148</f>
        <v>1.1972602739726028</v>
      </c>
      <c r="F148" s="47">
        <f>P2_TaskV_Valuation!O148</f>
        <v>1.9947222192549192E-2</v>
      </c>
      <c r="G148" s="47">
        <f>P2_TaskV_Valuation!P148</f>
        <v>0.59524147741765798</v>
      </c>
      <c r="H148" s="47">
        <f>P2_TaskV_Valuation!Q148</f>
        <v>-0.43259616203317885</v>
      </c>
      <c r="I148" s="36">
        <f>P2_TaskV_Valuation!AB148</f>
        <v>1356.6146061086069</v>
      </c>
      <c r="J148" s="22">
        <f t="shared" si="96"/>
        <v>1531.0084999999999</v>
      </c>
      <c r="K148" s="28">
        <f t="shared" si="97"/>
        <v>-0.11118561047469783</v>
      </c>
      <c r="L148" s="28">
        <f t="shared" si="98"/>
        <v>0.97132802615212754</v>
      </c>
      <c r="M148" s="28">
        <f t="shared" si="99"/>
        <v>-1.3783570651713128</v>
      </c>
      <c r="N148" s="28">
        <f t="shared" si="100"/>
        <v>-0.29584342854448725</v>
      </c>
      <c r="O148" s="28">
        <f t="shared" si="101"/>
        <v>646.27074019941199</v>
      </c>
      <c r="P148" s="28">
        <f t="shared" si="102"/>
        <v>433.3705260540998</v>
      </c>
      <c r="Q148" s="28">
        <f t="shared" si="103"/>
        <v>-18.214904139674346</v>
      </c>
      <c r="R148" s="28">
        <f t="shared" si="104"/>
        <v>120.79687051932871</v>
      </c>
      <c r="S148" s="22">
        <f t="shared" si="105"/>
        <v>1366.4416963891188</v>
      </c>
      <c r="T148" s="22">
        <f t="shared" si="106"/>
        <v>1500.6914999999999</v>
      </c>
      <c r="U148" s="28">
        <f t="shared" si="107"/>
        <v>-0.14478653961935134</v>
      </c>
      <c r="V148" s="28">
        <f t="shared" si="108"/>
        <v>0.93772709700747425</v>
      </c>
      <c r="W148" s="28">
        <f t="shared" si="109"/>
        <v>-1.3447561360266596</v>
      </c>
      <c r="X148" s="28">
        <f t="shared" si="110"/>
        <v>-0.26224249939983396</v>
      </c>
      <c r="Y148" s="28">
        <f t="shared" si="111"/>
        <v>662.85269158459175</v>
      </c>
      <c r="Z148" s="28">
        <f t="shared" si="112"/>
        <v>450.05765047278908</v>
      </c>
      <c r="AA148" s="28">
        <f t="shared" si="113"/>
        <v>-19.607822462974582</v>
      </c>
      <c r="AB148" s="28">
        <f t="shared" si="114"/>
        <v>122.52309332611821</v>
      </c>
      <c r="AC148" s="22">
        <f t="shared" si="115"/>
        <v>1346.6354308403397</v>
      </c>
      <c r="AD148" s="43">
        <f t="shared" si="116"/>
        <v>0.6533055892330718</v>
      </c>
      <c r="AE148" s="22">
        <f t="shared" si="117"/>
        <v>990.31327743895179</v>
      </c>
      <c r="AF148" s="22">
        <f t="shared" si="118"/>
        <v>366.30132866965516</v>
      </c>
      <c r="AG148" s="30">
        <f t="shared" si="119"/>
        <v>0.72998865925498513</v>
      </c>
    </row>
    <row r="149" spans="1:33" x14ac:dyDescent="0.2">
      <c r="A149" s="35">
        <f>P2_TaskV_Valuation!A149</f>
        <v>46120</v>
      </c>
      <c r="B149" s="36">
        <f>P2_TaskV_Valuation!B149</f>
        <v>1562.38</v>
      </c>
      <c r="C149" s="45">
        <f>P2_TaskV_Valuation!N149</f>
        <v>2.3864748061756716E-2</v>
      </c>
      <c r="D149" s="37">
        <f>P2_TaskV_Valuation!C149</f>
        <v>0.54</v>
      </c>
      <c r="E149" s="46">
        <f>P2_TaskV_Valuation!D149</f>
        <v>1.1945205479452055</v>
      </c>
      <c r="F149" s="47">
        <f>P2_TaskV_Valuation!O149</f>
        <v>1.7864748061756718E-2</v>
      </c>
      <c r="G149" s="47">
        <f>P2_TaskV_Valuation!P149</f>
        <v>0.59018826808131475</v>
      </c>
      <c r="H149" s="47">
        <f>P2_TaskV_Valuation!Q149</f>
        <v>-0.43873543188697967</v>
      </c>
      <c r="I149" s="36">
        <f>P2_TaskV_Valuation!AB149</f>
        <v>1392.4272428108191</v>
      </c>
      <c r="J149" s="22">
        <f t="shared" si="96"/>
        <v>1578.0038000000002</v>
      </c>
      <c r="K149" s="28">
        <f t="shared" si="97"/>
        <v>-7.0292223239973195E-2</v>
      </c>
      <c r="L149" s="28">
        <f t="shared" si="98"/>
        <v>1.0214899270309896</v>
      </c>
      <c r="M149" s="28">
        <f t="shared" si="99"/>
        <v>-1.4507685505218912</v>
      </c>
      <c r="N149" s="28">
        <f t="shared" si="100"/>
        <v>-0.35898640025092843</v>
      </c>
      <c r="O149" s="28">
        <f t="shared" si="101"/>
        <v>621.88290831705012</v>
      </c>
      <c r="P149" s="28">
        <f t="shared" si="102"/>
        <v>407.01321155773883</v>
      </c>
      <c r="Q149" s="28">
        <f t="shared" si="103"/>
        <v>-15.49161730511716</v>
      </c>
      <c r="R149" s="28">
        <f t="shared" si="104"/>
        <v>119.11861627954437</v>
      </c>
      <c r="S149" s="22">
        <f t="shared" si="105"/>
        <v>1402.1676688766997</v>
      </c>
      <c r="T149" s="22">
        <f t="shared" si="106"/>
        <v>1546.7562</v>
      </c>
      <c r="U149" s="28">
        <f t="shared" si="107"/>
        <v>-0.10418084452973758</v>
      </c>
      <c r="V149" s="28">
        <f t="shared" si="108"/>
        <v>0.98760130574122529</v>
      </c>
      <c r="W149" s="28">
        <f t="shared" si="109"/>
        <v>-1.4168799292321266</v>
      </c>
      <c r="X149" s="28">
        <f t="shared" si="110"/>
        <v>-0.32509777896116387</v>
      </c>
      <c r="Y149" s="28">
        <f t="shared" si="111"/>
        <v>638.47273848285636</v>
      </c>
      <c r="Z149" s="28">
        <f t="shared" si="112"/>
        <v>423.35662095701116</v>
      </c>
      <c r="AA149" s="28">
        <f t="shared" si="113"/>
        <v>-16.714931745216305</v>
      </c>
      <c r="AB149" s="28">
        <f t="shared" si="114"/>
        <v>121.19295065962012</v>
      </c>
      <c r="AC149" s="22">
        <f t="shared" si="115"/>
        <v>1382.5266106572526</v>
      </c>
      <c r="AD149" s="43">
        <f t="shared" si="116"/>
        <v>0.62856213659439863</v>
      </c>
      <c r="AE149" s="22">
        <f t="shared" si="117"/>
        <v>982.05291097235659</v>
      </c>
      <c r="AF149" s="22">
        <f t="shared" si="118"/>
        <v>410.37433183846247</v>
      </c>
      <c r="AG149" s="30">
        <f t="shared" si="119"/>
        <v>0.70528131077781731</v>
      </c>
    </row>
    <row r="150" spans="1:33" x14ac:dyDescent="0.2">
      <c r="A150" s="35">
        <f>P2_TaskV_Valuation!A150</f>
        <v>46121</v>
      </c>
      <c r="B150" s="36">
        <f>P2_TaskV_Valuation!B150</f>
        <v>1534.86</v>
      </c>
      <c r="C150" s="45">
        <f>P2_TaskV_Valuation!N150</f>
        <v>2.4602200352244051E-2</v>
      </c>
      <c r="D150" s="37">
        <f>P2_TaskV_Valuation!C150</f>
        <v>0.52800000000000002</v>
      </c>
      <c r="E150" s="46">
        <f>P2_TaskV_Valuation!D150</f>
        <v>1.1917808219178083</v>
      </c>
      <c r="F150" s="47">
        <f>P2_TaskV_Valuation!O150</f>
        <v>1.8602200352244053E-2</v>
      </c>
      <c r="G150" s="47">
        <f>P2_TaskV_Valuation!P150</f>
        <v>0.57641081240512337</v>
      </c>
      <c r="H150" s="47">
        <f>P2_TaskV_Valuation!Q150</f>
        <v>-0.43327378776312825</v>
      </c>
      <c r="I150" s="36">
        <f>P2_TaskV_Valuation!AB150</f>
        <v>1387.2240754362952</v>
      </c>
      <c r="J150" s="22">
        <f t="shared" si="96"/>
        <v>1550.2085999999999</v>
      </c>
      <c r="K150" s="28">
        <f t="shared" si="97"/>
        <v>-0.11530529728861894</v>
      </c>
      <c r="L150" s="28">
        <f t="shared" si="98"/>
        <v>1.0025727898726515</v>
      </c>
      <c r="M150" s="28">
        <f t="shared" si="99"/>
        <v>-1.4671166442204551</v>
      </c>
      <c r="N150" s="28">
        <f t="shared" si="100"/>
        <v>-0.34923855705918466</v>
      </c>
      <c r="O150" s="28">
        <f t="shared" si="101"/>
        <v>627.00102282261969</v>
      </c>
      <c r="P150" s="28">
        <f t="shared" si="102"/>
        <v>407.39127574465624</v>
      </c>
      <c r="Q150" s="28">
        <f t="shared" si="103"/>
        <v>-14.634046381561497</v>
      </c>
      <c r="R150" s="28">
        <f t="shared" si="104"/>
        <v>122.96948149102263</v>
      </c>
      <c r="S150" s="22">
        <f t="shared" si="105"/>
        <v>1397.2156820090663</v>
      </c>
      <c r="T150" s="22">
        <f t="shared" si="106"/>
        <v>1519.5113999999999</v>
      </c>
      <c r="U150" s="28">
        <f t="shared" si="107"/>
        <v>-0.15000392936877566</v>
      </c>
      <c r="V150" s="28">
        <f t="shared" si="108"/>
        <v>0.96787415779249519</v>
      </c>
      <c r="W150" s="28">
        <f t="shared" si="109"/>
        <v>-1.4324180121402983</v>
      </c>
      <c r="X150" s="28">
        <f t="shared" si="110"/>
        <v>-0.31453992497902777</v>
      </c>
      <c r="Y150" s="28">
        <f t="shared" si="111"/>
        <v>643.8477336513256</v>
      </c>
      <c r="Z150" s="28">
        <f t="shared" si="112"/>
        <v>424.0829111732553</v>
      </c>
      <c r="AA150" s="28">
        <f t="shared" si="113"/>
        <v>-15.828475885909533</v>
      </c>
      <c r="AB150" s="28">
        <f t="shared" si="114"/>
        <v>125.23104189133028</v>
      </c>
      <c r="AC150" s="22">
        <f t="shared" si="115"/>
        <v>1377.0680566758117</v>
      </c>
      <c r="AD150" s="43">
        <f t="shared" si="116"/>
        <v>0.6563343019315967</v>
      </c>
      <c r="AE150" s="22">
        <f t="shared" si="117"/>
        <v>1007.3812666627305</v>
      </c>
      <c r="AF150" s="22">
        <f t="shared" si="118"/>
        <v>379.84280877356468</v>
      </c>
      <c r="AG150" s="30">
        <f t="shared" si="119"/>
        <v>0.72618496499629992</v>
      </c>
    </row>
    <row r="151" spans="1:33" x14ac:dyDescent="0.2">
      <c r="A151" s="35">
        <f>P2_TaskV_Valuation!A151</f>
        <v>46122</v>
      </c>
      <c r="B151" s="36">
        <f>P2_TaskV_Valuation!B151</f>
        <v>1449.31</v>
      </c>
      <c r="C151" s="45">
        <f>P2_TaskV_Valuation!N151</f>
        <v>2.4595175415196263E-2</v>
      </c>
      <c r="D151" s="37">
        <f>P2_TaskV_Valuation!C151</f>
        <v>0.55900000000000005</v>
      </c>
      <c r="E151" s="46">
        <f>P2_TaskV_Valuation!D151</f>
        <v>1.189041095890411</v>
      </c>
      <c r="F151" s="47">
        <f>P2_TaskV_Valuation!O151</f>
        <v>1.8595175415196265E-2</v>
      </c>
      <c r="G151" s="47">
        <f>P2_TaskV_Valuation!P151</f>
        <v>0.60955126993956099</v>
      </c>
      <c r="H151" s="47">
        <f>P2_TaskV_Valuation!Q151</f>
        <v>-0.44049182057406289</v>
      </c>
      <c r="I151" s="36">
        <f>P2_TaskV_Valuation!AB151</f>
        <v>1300.6675520983513</v>
      </c>
      <c r="J151" s="22">
        <f t="shared" si="96"/>
        <v>1463.8030999999999</v>
      </c>
      <c r="K151" s="28">
        <f t="shared" si="97"/>
        <v>-0.17098227933386906</v>
      </c>
      <c r="L151" s="28">
        <f t="shared" si="98"/>
        <v>0.88611832592679018</v>
      </c>
      <c r="M151" s="28">
        <f t="shared" si="99"/>
        <v>-1.2611210885661457</v>
      </c>
      <c r="N151" s="28">
        <f t="shared" si="100"/>
        <v>-0.20402048330548667</v>
      </c>
      <c r="O151" s="28">
        <f t="shared" si="101"/>
        <v>694.46333538152714</v>
      </c>
      <c r="P151" s="28">
        <f t="shared" si="102"/>
        <v>486.6567661439949</v>
      </c>
      <c r="Q151" s="28">
        <f t="shared" si="103"/>
        <v>-23.956649729300025</v>
      </c>
      <c r="R151" s="28">
        <f t="shared" si="104"/>
        <v>121.19486332835731</v>
      </c>
      <c r="S151" s="22">
        <f t="shared" si="105"/>
        <v>1310.5493465373415</v>
      </c>
      <c r="T151" s="22">
        <f t="shared" si="106"/>
        <v>1434.8169</v>
      </c>
      <c r="U151" s="28">
        <f t="shared" si="107"/>
        <v>-0.20379439489004297</v>
      </c>
      <c r="V151" s="28">
        <f t="shared" si="108"/>
        <v>0.85330621037061616</v>
      </c>
      <c r="W151" s="28">
        <f t="shared" si="109"/>
        <v>-1.2283089730099719</v>
      </c>
      <c r="X151" s="28">
        <f t="shared" si="110"/>
        <v>-0.17120836774931275</v>
      </c>
      <c r="Y151" s="28">
        <f t="shared" si="111"/>
        <v>710.99168944999838</v>
      </c>
      <c r="Z151" s="28">
        <f t="shared" si="112"/>
        <v>503.86387365313357</v>
      </c>
      <c r="AA151" s="28">
        <f t="shared" si="113"/>
        <v>-25.659389469373366</v>
      </c>
      <c r="AB151" s="28">
        <f t="shared" si="114"/>
        <v>122.18487002317175</v>
      </c>
      <c r="AC151" s="22">
        <f t="shared" si="115"/>
        <v>1290.649492593315</v>
      </c>
      <c r="AD151" s="43">
        <f t="shared" si="116"/>
        <v>0.68652855303649729</v>
      </c>
      <c r="AE151" s="22">
        <f t="shared" si="117"/>
        <v>994.99269720132588</v>
      </c>
      <c r="AF151" s="22">
        <f t="shared" si="118"/>
        <v>305.6748548970254</v>
      </c>
      <c r="AG151" s="30">
        <f t="shared" si="119"/>
        <v>0.76498617621091269</v>
      </c>
    </row>
    <row r="152" spans="1:33" x14ac:dyDescent="0.2">
      <c r="A152" s="35">
        <f>P2_TaskV_Valuation!A152</f>
        <v>46125</v>
      </c>
      <c r="B152" s="36">
        <f>P2_TaskV_Valuation!B152</f>
        <v>1480.6</v>
      </c>
      <c r="C152" s="45">
        <f>P2_TaskV_Valuation!N152</f>
        <v>2.5238777316764213E-2</v>
      </c>
      <c r="D152" s="37">
        <f>P2_TaskV_Valuation!C152</f>
        <v>0.54800000000000004</v>
      </c>
      <c r="E152" s="46">
        <f>P2_TaskV_Valuation!D152</f>
        <v>1.1808219178082191</v>
      </c>
      <c r="F152" s="47">
        <f>P2_TaskV_Valuation!O152</f>
        <v>1.9238777316764211E-2</v>
      </c>
      <c r="G152" s="47">
        <f>P2_TaskV_Valuation!P152</f>
        <v>0.59548765327710995</v>
      </c>
      <c r="H152" s="47">
        <f>P2_TaskV_Valuation!Q152</f>
        <v>-0.43593566080783402</v>
      </c>
      <c r="I152" s="36">
        <f>P2_TaskV_Valuation!AB152</f>
        <v>1333.6472154069388</v>
      </c>
      <c r="J152" s="22">
        <f t="shared" si="96"/>
        <v>1495.4059999999999</v>
      </c>
      <c r="K152" s="28">
        <f t="shared" si="97"/>
        <v>-0.1523610030374366</v>
      </c>
      <c r="L152" s="28">
        <f t="shared" si="98"/>
        <v>0.92970512015498152</v>
      </c>
      <c r="M152" s="28">
        <f t="shared" si="99"/>
        <v>-1.3399845440617064</v>
      </c>
      <c r="N152" s="28">
        <f t="shared" si="100"/>
        <v>-0.25791842086928823</v>
      </c>
      <c r="O152" s="28">
        <f t="shared" si="101"/>
        <v>667.739638648805</v>
      </c>
      <c r="P152" s="28">
        <f t="shared" si="102"/>
        <v>454.81718015376816</v>
      </c>
      <c r="Q152" s="28">
        <f t="shared" si="103"/>
        <v>-19.869857525393741</v>
      </c>
      <c r="R152" s="28">
        <f t="shared" si="104"/>
        <v>122.97999961353543</v>
      </c>
      <c r="S152" s="22">
        <f t="shared" si="105"/>
        <v>1343.6073908616029</v>
      </c>
      <c r="T152" s="22">
        <f t="shared" si="106"/>
        <v>1465.7939999999999</v>
      </c>
      <c r="U152" s="28">
        <f t="shared" si="107"/>
        <v>-0.1859480414866827</v>
      </c>
      <c r="V152" s="28">
        <f t="shared" si="108"/>
        <v>0.89611808170573548</v>
      </c>
      <c r="W152" s="28">
        <f t="shared" si="109"/>
        <v>-1.3063975056124604</v>
      </c>
      <c r="X152" s="28">
        <f t="shared" si="110"/>
        <v>-0.22433138242004208</v>
      </c>
      <c r="Y152" s="28">
        <f t="shared" si="111"/>
        <v>684.41514428942367</v>
      </c>
      <c r="Z152" s="28">
        <f t="shared" si="112"/>
        <v>471.87657873466435</v>
      </c>
      <c r="AA152" s="28">
        <f t="shared" si="113"/>
        <v>-21.364173551367287</v>
      </c>
      <c r="AB152" s="28">
        <f t="shared" si="114"/>
        <v>124.49379582917538</v>
      </c>
      <c r="AC152" s="22">
        <f t="shared" si="115"/>
        <v>1323.5398800390931</v>
      </c>
      <c r="AD152" s="43">
        <f t="shared" si="116"/>
        <v>0.67768171087767815</v>
      </c>
      <c r="AE152" s="22">
        <f t="shared" si="117"/>
        <v>1003.3755411254901</v>
      </c>
      <c r="AF152" s="22">
        <f t="shared" si="118"/>
        <v>330.27167428144867</v>
      </c>
      <c r="AG152" s="30">
        <f t="shared" si="119"/>
        <v>0.7523545428911107</v>
      </c>
    </row>
    <row r="153" spans="1:33" x14ac:dyDescent="0.2">
      <c r="A153" s="35">
        <f>P2_TaskV_Valuation!A153</f>
        <v>46126</v>
      </c>
      <c r="B153" s="36">
        <f>P2_TaskV_Valuation!B153</f>
        <v>1471.89</v>
      </c>
      <c r="C153" s="45">
        <f>P2_TaskV_Valuation!N153</f>
        <v>2.4798253853902517E-2</v>
      </c>
      <c r="D153" s="37">
        <f>P2_TaskV_Valuation!C153</f>
        <v>0.53200000000000003</v>
      </c>
      <c r="E153" s="46">
        <f>P2_TaskV_Valuation!D153</f>
        <v>1.178082191780822</v>
      </c>
      <c r="F153" s="47">
        <f>P2_TaskV_Valuation!O153</f>
        <v>1.8798253853902519E-2</v>
      </c>
      <c r="G153" s="47">
        <f>P2_TaskV_Valuation!P153</f>
        <v>0.57743011200194216</v>
      </c>
      <c r="H153" s="47">
        <f>P2_TaskV_Valuation!Q153</f>
        <v>-0.43358070745271599</v>
      </c>
      <c r="I153" s="36">
        <f>P2_TaskV_Valuation!AB153</f>
        <v>1343.7190280234222</v>
      </c>
      <c r="J153" s="22">
        <f t="shared" si="96"/>
        <v>1486.6089000000002</v>
      </c>
      <c r="K153" s="28">
        <f t="shared" si="97"/>
        <v>-0.18667350903194624</v>
      </c>
      <c r="L153" s="28">
        <f t="shared" si="98"/>
        <v>0.92923126108220067</v>
      </c>
      <c r="M153" s="28">
        <f t="shared" si="99"/>
        <v>-1.3910009201250693</v>
      </c>
      <c r="N153" s="28">
        <f t="shared" si="100"/>
        <v>-0.27509615001092225</v>
      </c>
      <c r="O153" s="28">
        <f t="shared" si="101"/>
        <v>663.05303844904358</v>
      </c>
      <c r="P153" s="28">
        <f t="shared" si="102"/>
        <v>443.74570492181738</v>
      </c>
      <c r="Q153" s="28">
        <f t="shared" si="103"/>
        <v>-17.386002237867785</v>
      </c>
      <c r="R153" s="28">
        <f t="shared" si="104"/>
        <v>127.33865384595828</v>
      </c>
      <c r="S153" s="22">
        <f t="shared" si="105"/>
        <v>1353.9461056132316</v>
      </c>
      <c r="T153" s="22">
        <f t="shared" si="106"/>
        <v>1457.1711</v>
      </c>
      <c r="U153" s="28">
        <f t="shared" si="107"/>
        <v>-0.22131088988714198</v>
      </c>
      <c r="V153" s="28">
        <f t="shared" si="108"/>
        <v>0.89459388022700481</v>
      </c>
      <c r="W153" s="28">
        <f t="shared" si="109"/>
        <v>-1.3563635392698734</v>
      </c>
      <c r="X153" s="28">
        <f t="shared" si="110"/>
        <v>-0.24045876915572661</v>
      </c>
      <c r="Y153" s="28">
        <f t="shared" si="111"/>
        <v>680.02990017102832</v>
      </c>
      <c r="Z153" s="28">
        <f t="shared" si="112"/>
        <v>461.08890635087101</v>
      </c>
      <c r="AA153" s="28">
        <f t="shared" si="113"/>
        <v>-18.76303175300707</v>
      </c>
      <c r="AB153" s="28">
        <f t="shared" si="114"/>
        <v>129.22751866865372</v>
      </c>
      <c r="AC153" s="22">
        <f t="shared" si="115"/>
        <v>1333.3370098463433</v>
      </c>
      <c r="AD153" s="43">
        <f t="shared" si="116"/>
        <v>0.70008953681621011</v>
      </c>
      <c r="AE153" s="22">
        <f t="shared" si="117"/>
        <v>1030.4547883444116</v>
      </c>
      <c r="AF153" s="22">
        <f t="shared" si="118"/>
        <v>313.26423967901064</v>
      </c>
      <c r="AG153" s="30">
        <f t="shared" si="119"/>
        <v>0.76686775051491629</v>
      </c>
    </row>
    <row r="154" spans="1:33" x14ac:dyDescent="0.2">
      <c r="A154" s="35">
        <f>P2_TaskV_Valuation!A154</f>
        <v>46127</v>
      </c>
      <c r="B154" s="36">
        <f>P2_TaskV_Valuation!B154</f>
        <v>1500.2</v>
      </c>
      <c r="C154" s="45">
        <f>P2_TaskV_Valuation!N154</f>
        <v>2.4358486120644979E-2</v>
      </c>
      <c r="D154" s="37">
        <f>P2_TaskV_Valuation!C154</f>
        <v>0.52100000000000002</v>
      </c>
      <c r="E154" s="46">
        <f>P2_TaskV_Valuation!D154</f>
        <v>1.1753424657534246</v>
      </c>
      <c r="F154" s="47">
        <f>P2_TaskV_Valuation!O154</f>
        <v>1.835848612064498E-2</v>
      </c>
      <c r="G154" s="47">
        <f>P2_TaskV_Valuation!P154</f>
        <v>0.56483283743650681</v>
      </c>
      <c r="H154" s="47">
        <f>P2_TaskV_Valuation!Q154</f>
        <v>-0.4323665690863025</v>
      </c>
      <c r="I154" s="36">
        <f>P2_TaskV_Valuation!AB154</f>
        <v>1375.1093201113724</v>
      </c>
      <c r="J154" s="22">
        <f t="shared" si="96"/>
        <v>1515.202</v>
      </c>
      <c r="K154" s="28">
        <f t="shared" si="97"/>
        <v>-0.17085203849607955</v>
      </c>
      <c r="L154" s="28">
        <f t="shared" si="98"/>
        <v>0.96994037597282234</v>
      </c>
      <c r="M154" s="28">
        <f t="shared" si="99"/>
        <v>-1.4694967876281178</v>
      </c>
      <c r="N154" s="28">
        <f t="shared" si="100"/>
        <v>-0.3287043731592163</v>
      </c>
      <c r="O154" s="28">
        <f t="shared" si="101"/>
        <v>640.3364025513772</v>
      </c>
      <c r="P154" s="28">
        <f t="shared" si="102"/>
        <v>416.24069219320273</v>
      </c>
      <c r="Q154" s="28">
        <f t="shared" si="103"/>
        <v>-14.355554271996382</v>
      </c>
      <c r="R154" s="28">
        <f t="shared" si="104"/>
        <v>127.56178216206933</v>
      </c>
      <c r="S154" s="22">
        <f t="shared" si="105"/>
        <v>1385.3947305550646</v>
      </c>
      <c r="T154" s="22">
        <f t="shared" si="106"/>
        <v>1485.1980000000001</v>
      </c>
      <c r="U154" s="28">
        <f t="shared" si="107"/>
        <v>-0.20626192506967611</v>
      </c>
      <c r="V154" s="28">
        <f t="shared" si="108"/>
        <v>0.93453048939922567</v>
      </c>
      <c r="W154" s="28">
        <f t="shared" si="109"/>
        <v>-1.434086901054521</v>
      </c>
      <c r="X154" s="28">
        <f t="shared" si="110"/>
        <v>-0.29329448658561952</v>
      </c>
      <c r="Y154" s="28">
        <f t="shared" si="111"/>
        <v>657.46010699743192</v>
      </c>
      <c r="Z154" s="28">
        <f t="shared" si="112"/>
        <v>433.41807853149095</v>
      </c>
      <c r="AA154" s="28">
        <f t="shared" si="113"/>
        <v>-15.553381776732529</v>
      </c>
      <c r="AB154" s="28">
        <f t="shared" si="114"/>
        <v>129.92363676018624</v>
      </c>
      <c r="AC154" s="22">
        <f t="shared" si="115"/>
        <v>1364.6576621139234</v>
      </c>
      <c r="AD154" s="43">
        <f t="shared" si="116"/>
        <v>0.69114346224307488</v>
      </c>
      <c r="AE154" s="22">
        <f t="shared" si="117"/>
        <v>1036.8534220570609</v>
      </c>
      <c r="AF154" s="22">
        <f t="shared" si="118"/>
        <v>338.2558980543115</v>
      </c>
      <c r="AG154" s="30">
        <f t="shared" si="119"/>
        <v>0.75401526765383597</v>
      </c>
    </row>
    <row r="155" spans="1:33" x14ac:dyDescent="0.2">
      <c r="A155" s="35">
        <f>P2_TaskV_Valuation!A155</f>
        <v>46128</v>
      </c>
      <c r="B155" s="36">
        <f>P2_TaskV_Valuation!B155</f>
        <v>1482.38</v>
      </c>
      <c r="C155" s="45">
        <f>P2_TaskV_Valuation!N155</f>
        <v>2.4300198790250204E-2</v>
      </c>
      <c r="D155" s="37">
        <f>P2_TaskV_Valuation!C155</f>
        <v>0.50700000000000001</v>
      </c>
      <c r="E155" s="46">
        <f>P2_TaskV_Valuation!D155</f>
        <v>1.1726027397260275</v>
      </c>
      <c r="F155" s="47">
        <f>P2_TaskV_Valuation!O155</f>
        <v>1.8300198790250202E-2</v>
      </c>
      <c r="G155" s="47">
        <f>P2_TaskV_Valuation!P155</f>
        <v>0.54901399038989496</v>
      </c>
      <c r="H155" s="47">
        <f>P2_TaskV_Valuation!Q155</f>
        <v>-0.42880657465988897</v>
      </c>
      <c r="I155" s="36">
        <f>P2_TaskV_Valuation!AB155</f>
        <v>1377.3739832190552</v>
      </c>
      <c r="J155" s="22">
        <f t="shared" si="96"/>
        <v>1497.2038000000002</v>
      </c>
      <c r="K155" s="28">
        <f t="shared" si="97"/>
        <v>-0.21380311510769751</v>
      </c>
      <c r="L155" s="28">
        <f t="shared" si="98"/>
        <v>0.95985917341232407</v>
      </c>
      <c r="M155" s="28">
        <f t="shared" si="99"/>
        <v>-1.5063350984714519</v>
      </c>
      <c r="N155" s="28">
        <f t="shared" si="100"/>
        <v>-0.33267280995143039</v>
      </c>
      <c r="O155" s="28">
        <f t="shared" si="101"/>
        <v>641.55719942976827</v>
      </c>
      <c r="P155" s="28">
        <f t="shared" si="102"/>
        <v>411.44608250779311</v>
      </c>
      <c r="Q155" s="28">
        <f t="shared" si="103"/>
        <v>-12.91541727513102</v>
      </c>
      <c r="R155" s="28">
        <f t="shared" si="104"/>
        <v>131.508982623674</v>
      </c>
      <c r="S155" s="22">
        <f t="shared" si="105"/>
        <v>1387.9448363438189</v>
      </c>
      <c r="T155" s="22">
        <f t="shared" si="106"/>
        <v>1467.5562</v>
      </c>
      <c r="U155" s="28">
        <f t="shared" si="107"/>
        <v>-0.25023327364057163</v>
      </c>
      <c r="V155" s="28">
        <f t="shared" si="108"/>
        <v>0.92342901487944995</v>
      </c>
      <c r="W155" s="28">
        <f t="shared" si="109"/>
        <v>-1.469904939938578</v>
      </c>
      <c r="X155" s="28">
        <f t="shared" si="110"/>
        <v>-0.29624265141855638</v>
      </c>
      <c r="Y155" s="28">
        <f t="shared" si="111"/>
        <v>658.97697491186022</v>
      </c>
      <c r="Z155" s="28">
        <f t="shared" si="112"/>
        <v>428.96755012358608</v>
      </c>
      <c r="AA155" s="28">
        <f t="shared" si="113"/>
        <v>-14.041810498516114</v>
      </c>
      <c r="AB155" s="28">
        <f t="shared" si="114"/>
        <v>134.17597309753802</v>
      </c>
      <c r="AC155" s="22">
        <f t="shared" si="115"/>
        <v>1366.6299850307769</v>
      </c>
      <c r="AD155" s="43">
        <f t="shared" si="116"/>
        <v>0.71894019458715119</v>
      </c>
      <c r="AE155" s="22">
        <f t="shared" si="117"/>
        <v>1065.7425656521013</v>
      </c>
      <c r="AF155" s="22">
        <f t="shared" si="118"/>
        <v>311.63141756695381</v>
      </c>
      <c r="AG155" s="30">
        <f t="shared" si="119"/>
        <v>0.77374959788434416</v>
      </c>
    </row>
    <row r="156" spans="1:33" x14ac:dyDescent="0.2">
      <c r="A156" s="35">
        <f>P2_TaskV_Valuation!A156</f>
        <v>46129</v>
      </c>
      <c r="B156" s="36">
        <f>P2_TaskV_Valuation!B156</f>
        <v>1480.4</v>
      </c>
      <c r="C156" s="45">
        <f>P2_TaskV_Valuation!N156</f>
        <v>2.3714288671346288E-2</v>
      </c>
      <c r="D156" s="37">
        <f>P2_TaskV_Valuation!C156</f>
        <v>0.49199999999999999</v>
      </c>
      <c r="E156" s="46">
        <f>P2_TaskV_Valuation!D156</f>
        <v>1.1698630136986301</v>
      </c>
      <c r="F156" s="47">
        <f>P2_TaskV_Valuation!O156</f>
        <v>1.7714288671346286E-2</v>
      </c>
      <c r="G156" s="47">
        <f>P2_TaskV_Valuation!P156</f>
        <v>0.5321482129519417</v>
      </c>
      <c r="H156" s="47">
        <f>P2_TaskV_Valuation!Q156</f>
        <v>-0.42681981347351827</v>
      </c>
      <c r="I156" s="36">
        <f>P2_TaskV_Valuation!AB156</f>
        <v>1392.3553968295591</v>
      </c>
      <c r="J156" s="22">
        <f t="shared" si="96"/>
        <v>1495.2040000000002</v>
      </c>
      <c r="K156" s="28">
        <f t="shared" si="97"/>
        <v>-0.24160633004693238</v>
      </c>
      <c r="L156" s="28">
        <f t="shared" si="98"/>
        <v>0.96925372868769166</v>
      </c>
      <c r="M156" s="28">
        <f t="shared" si="99"/>
        <v>-1.57008016350326</v>
      </c>
      <c r="N156" s="28">
        <f t="shared" si="100"/>
        <v>-0.35922010476863603</v>
      </c>
      <c r="O156" s="28">
        <f t="shared" si="101"/>
        <v>634.11254750701437</v>
      </c>
      <c r="P156" s="28">
        <f t="shared" si="102"/>
        <v>397.14223121208943</v>
      </c>
      <c r="Q156" s="28">
        <f t="shared" si="103"/>
        <v>-10.887573015563831</v>
      </c>
      <c r="R156" s="28">
        <f t="shared" si="104"/>
        <v>134.07096363633383</v>
      </c>
      <c r="S156" s="22">
        <f t="shared" si="105"/>
        <v>1403.1768701180586</v>
      </c>
      <c r="T156" s="22">
        <f t="shared" si="106"/>
        <v>1465.596</v>
      </c>
      <c r="U156" s="28">
        <f t="shared" si="107"/>
        <v>-0.27919109726003949</v>
      </c>
      <c r="V156" s="28">
        <f t="shared" si="108"/>
        <v>0.93166896147458456</v>
      </c>
      <c r="W156" s="28">
        <f t="shared" si="109"/>
        <v>-1.5324953962901529</v>
      </c>
      <c r="X156" s="28">
        <f t="shared" si="110"/>
        <v>-0.32163533755552903</v>
      </c>
      <c r="Y156" s="28">
        <f t="shared" si="111"/>
        <v>651.83223160867408</v>
      </c>
      <c r="Z156" s="28">
        <f t="shared" si="112"/>
        <v>414.86135170526245</v>
      </c>
      <c r="AA156" s="28">
        <f t="shared" si="113"/>
        <v>-11.891601524658903</v>
      </c>
      <c r="AB156" s="28">
        <f t="shared" si="114"/>
        <v>137.17489107315362</v>
      </c>
      <c r="AC156" s="22">
        <f t="shared" si="115"/>
        <v>1381.3497936789706</v>
      </c>
      <c r="AD156" s="43">
        <f t="shared" si="116"/>
        <v>0.7372019872699247</v>
      </c>
      <c r="AE156" s="22">
        <f t="shared" si="117"/>
        <v>1091.3538219543966</v>
      </c>
      <c r="AF156" s="22">
        <f t="shared" si="118"/>
        <v>301.00157487516253</v>
      </c>
      <c r="AG156" s="30">
        <f t="shared" si="119"/>
        <v>0.78381843058133471</v>
      </c>
    </row>
    <row r="157" spans="1:33" x14ac:dyDescent="0.2">
      <c r="A157" s="35">
        <f>P2_TaskV_Valuation!A157</f>
        <v>46132</v>
      </c>
      <c r="B157" s="36">
        <f>P2_TaskV_Valuation!B157</f>
        <v>1461.19</v>
      </c>
      <c r="C157" s="45">
        <f>P2_TaskV_Valuation!N157</f>
        <v>2.3801941750685295E-2</v>
      </c>
      <c r="D157" s="37">
        <f>P2_TaskV_Valuation!C157</f>
        <v>0.48</v>
      </c>
      <c r="E157" s="46">
        <f>P2_TaskV_Valuation!D157</f>
        <v>1.1616438356164382</v>
      </c>
      <c r="F157" s="47">
        <f>P2_TaskV_Valuation!O157</f>
        <v>1.7801941750685293E-2</v>
      </c>
      <c r="G157" s="47">
        <f>P2_TaskV_Valuation!P157</f>
        <v>0.51734199493761124</v>
      </c>
      <c r="H157" s="47">
        <f>P2_TaskV_Valuation!Q157</f>
        <v>-0.4227346278182062</v>
      </c>
      <c r="I157" s="36">
        <f>P2_TaskV_Valuation!AB157</f>
        <v>1392.3560158841046</v>
      </c>
      <c r="J157" s="22">
        <f t="shared" si="96"/>
        <v>1475.8019000000002</v>
      </c>
      <c r="K157" s="28">
        <f t="shared" si="97"/>
        <v>-0.28887040523289564</v>
      </c>
      <c r="L157" s="28">
        <f t="shared" si="98"/>
        <v>0.95664421120225274</v>
      </c>
      <c r="M157" s="28">
        <f t="shared" si="99"/>
        <v>-1.6048715891315373</v>
      </c>
      <c r="N157" s="28">
        <f t="shared" si="100"/>
        <v>-0.35935697269638878</v>
      </c>
      <c r="O157" s="28">
        <f t="shared" si="101"/>
        <v>637.44534690666819</v>
      </c>
      <c r="P157" s="28">
        <f t="shared" si="102"/>
        <v>394.206388244869</v>
      </c>
      <c r="Q157" s="28">
        <f t="shared" si="103"/>
        <v>-9.8101890555582187</v>
      </c>
      <c r="R157" s="28">
        <f t="shared" si="104"/>
        <v>137.94828171412917</v>
      </c>
      <c r="S157" s="22">
        <f t="shared" si="105"/>
        <v>1403.4938738800115</v>
      </c>
      <c r="T157" s="22">
        <f t="shared" si="106"/>
        <v>1446.5780999999999</v>
      </c>
      <c r="U157" s="28">
        <f t="shared" si="107"/>
        <v>-0.32753084050083026</v>
      </c>
      <c r="V157" s="28">
        <f t="shared" si="108"/>
        <v>0.91798377593431812</v>
      </c>
      <c r="W157" s="28">
        <f t="shared" si="109"/>
        <v>-1.5662111538636025</v>
      </c>
      <c r="X157" s="28">
        <f t="shared" si="110"/>
        <v>-0.3206965374284545</v>
      </c>
      <c r="Y157" s="28">
        <f t="shared" si="111"/>
        <v>655.46737466258219</v>
      </c>
      <c r="Z157" s="28">
        <f t="shared" si="112"/>
        <v>412.31342740412481</v>
      </c>
      <c r="AA157" s="28">
        <f t="shared" si="113"/>
        <v>-10.754757065333166</v>
      </c>
      <c r="AB157" s="28">
        <f t="shared" si="114"/>
        <v>141.36392168496616</v>
      </c>
      <c r="AC157" s="22">
        <f t="shared" si="115"/>
        <v>1381.0266267401437</v>
      </c>
      <c r="AD157" s="43">
        <f t="shared" si="116"/>
        <v>0.76879964754302388</v>
      </c>
      <c r="AE157" s="22">
        <f t="shared" si="117"/>
        <v>1123.3623569933911</v>
      </c>
      <c r="AF157" s="22">
        <f t="shared" si="118"/>
        <v>268.9936588907135</v>
      </c>
      <c r="AG157" s="30">
        <f t="shared" si="119"/>
        <v>0.806806839757926</v>
      </c>
    </row>
    <row r="158" spans="1:33" x14ac:dyDescent="0.2">
      <c r="A158" s="35">
        <f>P2_TaskV_Valuation!A158</f>
        <v>46133</v>
      </c>
      <c r="B158" s="36">
        <f>P2_TaskV_Valuation!B158</f>
        <v>1416.84</v>
      </c>
      <c r="C158" s="45">
        <f>P2_TaskV_Valuation!N158</f>
        <v>2.4045648124743718E-2</v>
      </c>
      <c r="D158" s="37">
        <f>P2_TaskV_Valuation!C158</f>
        <v>0.48</v>
      </c>
      <c r="E158" s="46">
        <f>P2_TaskV_Valuation!D158</f>
        <v>1.1589041095890411</v>
      </c>
      <c r="F158" s="47">
        <f>P2_TaskV_Valuation!O158</f>
        <v>1.804564812474372E-2</v>
      </c>
      <c r="G158" s="47">
        <f>P2_TaskV_Valuation!P158</f>
        <v>0.51673156169264034</v>
      </c>
      <c r="H158" s="47">
        <f>P2_TaskV_Valuation!Q158</f>
        <v>-0.42167687445857766</v>
      </c>
      <c r="I158" s="36">
        <f>P2_TaskV_Valuation!AB158</f>
        <v>1357.8648415492271</v>
      </c>
      <c r="J158" s="22">
        <f t="shared" si="96"/>
        <v>1431.0083999999999</v>
      </c>
      <c r="K158" s="28">
        <f t="shared" si="97"/>
        <v>-0.3490185120384599</v>
      </c>
      <c r="L158" s="28">
        <f t="shared" si="98"/>
        <v>0.89796747480510464</v>
      </c>
      <c r="M158" s="28">
        <f t="shared" si="99"/>
        <v>-1.5472778380006931</v>
      </c>
      <c r="N158" s="28">
        <f t="shared" si="100"/>
        <v>-0.30029185115712864</v>
      </c>
      <c r="O158" s="28">
        <f t="shared" si="101"/>
        <v>664.56240770596685</v>
      </c>
      <c r="P158" s="28">
        <f t="shared" si="102"/>
        <v>421.37191637235344</v>
      </c>
      <c r="Q158" s="28">
        <f t="shared" si="103"/>
        <v>-11.228662580207974</v>
      </c>
      <c r="R158" s="28">
        <f t="shared" si="104"/>
        <v>143.19507314030665</v>
      </c>
      <c r="S158" s="22">
        <f t="shared" si="105"/>
        <v>1369.2405311954649</v>
      </c>
      <c r="T158" s="22">
        <f t="shared" si="106"/>
        <v>1402.6715999999999</v>
      </c>
      <c r="U158" s="28">
        <f t="shared" si="107"/>
        <v>-0.38772461824407656</v>
      </c>
      <c r="V158" s="28">
        <f t="shared" si="108"/>
        <v>0.85926136859948776</v>
      </c>
      <c r="W158" s="28">
        <f t="shared" si="109"/>
        <v>-1.508571731795076</v>
      </c>
      <c r="X158" s="28">
        <f t="shared" si="110"/>
        <v>-0.26158574495151177</v>
      </c>
      <c r="Y158" s="28">
        <f t="shared" si="111"/>
        <v>682.67554817155042</v>
      </c>
      <c r="Z158" s="28">
        <f t="shared" si="112"/>
        <v>440.07438020871018</v>
      </c>
      <c r="AA158" s="28">
        <f t="shared" si="113"/>
        <v>-12.289616204801483</v>
      </c>
      <c r="AB158" s="28">
        <f t="shared" si="114"/>
        <v>146.36555833568832</v>
      </c>
      <c r="AC158" s="22">
        <f t="shared" si="115"/>
        <v>1346.3066285391333</v>
      </c>
      <c r="AD158" s="43">
        <f t="shared" si="116"/>
        <v>0.80933283420610691</v>
      </c>
      <c r="AE158" s="22">
        <f t="shared" si="117"/>
        <v>1146.6951328165806</v>
      </c>
      <c r="AF158" s="22">
        <f t="shared" si="118"/>
        <v>211.16970873264654</v>
      </c>
      <c r="AG158" s="30">
        <f t="shared" si="119"/>
        <v>0.84448399997475676</v>
      </c>
    </row>
    <row r="159" spans="1:33" x14ac:dyDescent="0.2">
      <c r="A159" s="35">
        <f>P2_TaskV_Valuation!A159</f>
        <v>46134</v>
      </c>
      <c r="B159" s="36">
        <f>P2_TaskV_Valuation!B159</f>
        <v>1408.72</v>
      </c>
      <c r="C159" s="45">
        <f>P2_TaskV_Valuation!N159</f>
        <v>2.430116015477125E-2</v>
      </c>
      <c r="D159" s="37">
        <f>P2_TaskV_Valuation!C159</f>
        <v>0.46600000000000003</v>
      </c>
      <c r="E159" s="46">
        <f>P2_TaskV_Valuation!D159</f>
        <v>1.1561643835616437</v>
      </c>
      <c r="F159" s="47">
        <f>P2_TaskV_Valuation!O159</f>
        <v>1.8301160154771248E-2</v>
      </c>
      <c r="G159" s="47">
        <f>P2_TaskV_Valuation!P159</f>
        <v>0.50106689461259801</v>
      </c>
      <c r="H159" s="47">
        <f>P2_TaskV_Valuation!Q159</f>
        <v>-0.41572344234204328</v>
      </c>
      <c r="I159" s="36">
        <f>P2_TaskV_Valuation!AB159</f>
        <v>1365.7881426333984</v>
      </c>
      <c r="J159" s="22">
        <f t="shared" si="96"/>
        <v>1422.8072</v>
      </c>
      <c r="K159" s="28">
        <f t="shared" si="97"/>
        <v>-0.38681899589292534</v>
      </c>
      <c r="L159" s="28">
        <f t="shared" si="98"/>
        <v>0.89915104786480604</v>
      </c>
      <c r="M159" s="28">
        <f t="shared" si="99"/>
        <v>-1.5995978109413156</v>
      </c>
      <c r="N159" s="28">
        <f t="shared" si="100"/>
        <v>-0.31362776718358409</v>
      </c>
      <c r="O159" s="28">
        <f t="shared" si="101"/>
        <v>661.15060502390304</v>
      </c>
      <c r="P159" s="28">
        <f t="shared" si="102"/>
        <v>411.04489930780966</v>
      </c>
      <c r="Q159" s="28">
        <f t="shared" si="103"/>
        <v>-9.6829918151007703</v>
      </c>
      <c r="R159" s="28">
        <f t="shared" si="104"/>
        <v>146.38967106050148</v>
      </c>
      <c r="S159" s="22">
        <f t="shared" si="105"/>
        <v>1377.472217641023</v>
      </c>
      <c r="T159" s="22">
        <f t="shared" si="106"/>
        <v>1394.6328000000001</v>
      </c>
      <c r="U159" s="28">
        <f t="shared" si="107"/>
        <v>-0.42673515663256689</v>
      </c>
      <c r="V159" s="28">
        <f t="shared" si="108"/>
        <v>0.85923488712516471</v>
      </c>
      <c r="W159" s="28">
        <f t="shared" si="109"/>
        <v>-1.5596816502016742</v>
      </c>
      <c r="X159" s="28">
        <f t="shared" si="110"/>
        <v>-0.27371160644394288</v>
      </c>
      <c r="Y159" s="28">
        <f t="shared" si="111"/>
        <v>679.55783865328272</v>
      </c>
      <c r="Z159" s="28">
        <f t="shared" si="112"/>
        <v>430.04442886303173</v>
      </c>
      <c r="AA159" s="28">
        <f t="shared" si="113"/>
        <v>-10.647523690589253</v>
      </c>
      <c r="AB159" s="28">
        <f t="shared" si="114"/>
        <v>149.986626188017</v>
      </c>
      <c r="AC159" s="22">
        <f t="shared" si="115"/>
        <v>1353.9112010827969</v>
      </c>
      <c r="AD159" s="43">
        <f t="shared" si="116"/>
        <v>0.83625619563242259</v>
      </c>
      <c r="AE159" s="22">
        <f t="shared" si="117"/>
        <v>1178.0508279113064</v>
      </c>
      <c r="AF159" s="22">
        <f t="shared" si="118"/>
        <v>187.73731472209192</v>
      </c>
      <c r="AG159" s="30">
        <f t="shared" si="119"/>
        <v>0.86254287260093465</v>
      </c>
    </row>
    <row r="160" spans="1:33" x14ac:dyDescent="0.2">
      <c r="A160" s="35">
        <f>P2_TaskV_Valuation!A160</f>
        <v>46135</v>
      </c>
      <c r="B160" s="36">
        <f>P2_TaskV_Valuation!B160</f>
        <v>1393.08</v>
      </c>
      <c r="C160" s="45">
        <f>P2_TaskV_Valuation!N160</f>
        <v>2.4781889098692934E-2</v>
      </c>
      <c r="D160" s="37">
        <f>P2_TaskV_Valuation!C160</f>
        <v>0.45400000000000001</v>
      </c>
      <c r="E160" s="46">
        <f>P2_TaskV_Valuation!D160</f>
        <v>1.1534246575342466</v>
      </c>
      <c r="F160" s="47">
        <f>P2_TaskV_Valuation!O160</f>
        <v>1.8781889098692932E-2</v>
      </c>
      <c r="G160" s="47">
        <f>P2_TaskV_Valuation!P160</f>
        <v>0.48758514816627541</v>
      </c>
      <c r="H160" s="47">
        <f>P2_TaskV_Valuation!Q160</f>
        <v>-0.40887709300251829</v>
      </c>
      <c r="I160" s="36">
        <f>P2_TaskV_Valuation!AB160</f>
        <v>1365.1145088665157</v>
      </c>
      <c r="J160" s="22">
        <f t="shared" si="96"/>
        <v>1407.0108</v>
      </c>
      <c r="K160" s="28">
        <f t="shared" si="97"/>
        <v>-0.43304558185864633</v>
      </c>
      <c r="L160" s="28">
        <f t="shared" si="98"/>
        <v>0.88848157870772893</v>
      </c>
      <c r="M160" s="28">
        <f t="shared" si="99"/>
        <v>-1.6335632388884109</v>
      </c>
      <c r="N160" s="28">
        <f t="shared" si="100"/>
        <v>-0.31203607832203589</v>
      </c>
      <c r="O160" s="28">
        <f t="shared" si="101"/>
        <v>663.74954990066465</v>
      </c>
      <c r="P160" s="28">
        <f t="shared" si="102"/>
        <v>407.60168852854071</v>
      </c>
      <c r="Q160" s="28">
        <f t="shared" si="103"/>
        <v>-8.7269531835558283</v>
      </c>
      <c r="R160" s="28">
        <f t="shared" si="104"/>
        <v>150.18655585100834</v>
      </c>
      <c r="S160" s="22">
        <f t="shared" si="105"/>
        <v>1377.1260364719424</v>
      </c>
      <c r="T160" s="22">
        <f t="shared" si="106"/>
        <v>1379.1491999999998</v>
      </c>
      <c r="U160" s="28">
        <f t="shared" si="107"/>
        <v>-0.47406542584259209</v>
      </c>
      <c r="V160" s="28">
        <f t="shared" si="108"/>
        <v>0.84746173472378317</v>
      </c>
      <c r="W160" s="28">
        <f t="shared" si="109"/>
        <v>-1.5925433949044649</v>
      </c>
      <c r="X160" s="28">
        <f t="shared" si="110"/>
        <v>-0.27101623433808991</v>
      </c>
      <c r="Y160" s="28">
        <f t="shared" si="111"/>
        <v>682.42337139441838</v>
      </c>
      <c r="Z160" s="28">
        <f t="shared" si="112"/>
        <v>426.98663217487962</v>
      </c>
      <c r="AA160" s="28">
        <f t="shared" si="113"/>
        <v>-9.6342917653880136</v>
      </c>
      <c r="AB160" s="28">
        <f t="shared" si="114"/>
        <v>154.11771391279501</v>
      </c>
      <c r="AC160" s="22">
        <f t="shared" si="115"/>
        <v>1352.9025961819843</v>
      </c>
      <c r="AD160" s="43">
        <f t="shared" si="116"/>
        <v>0.86942028777809011</v>
      </c>
      <c r="AE160" s="22">
        <f t="shared" si="117"/>
        <v>1211.1720144979017</v>
      </c>
      <c r="AF160" s="22">
        <f t="shared" si="118"/>
        <v>153.94249436861401</v>
      </c>
      <c r="AG160" s="30">
        <f t="shared" si="119"/>
        <v>0.88723107595095752</v>
      </c>
    </row>
    <row r="161" spans="1:33" x14ac:dyDescent="0.2">
      <c r="A161" s="35">
        <f>P2_TaskV_Valuation!A161</f>
        <v>46136</v>
      </c>
      <c r="B161" s="36">
        <f>P2_TaskV_Valuation!B161</f>
        <v>1306.1400000000001</v>
      </c>
      <c r="C161" s="45">
        <f>P2_TaskV_Valuation!N161</f>
        <v>2.4909136995805947E-2</v>
      </c>
      <c r="D161" s="37">
        <f>P2_TaskV_Valuation!C161</f>
        <v>0.50600000000000001</v>
      </c>
      <c r="E161" s="46">
        <f>P2_TaskV_Valuation!D161</f>
        <v>1.1506849315068493</v>
      </c>
      <c r="F161" s="47">
        <f>P2_TaskV_Valuation!O161</f>
        <v>1.8909136995805945E-2</v>
      </c>
      <c r="G161" s="47">
        <f>P2_TaskV_Valuation!P161</f>
        <v>0.5427861154481457</v>
      </c>
      <c r="H161" s="47">
        <f>P2_TaskV_Valuation!Q161</f>
        <v>-0.42614656924883243</v>
      </c>
      <c r="I161" s="36">
        <f>P2_TaskV_Valuation!AB161</f>
        <v>1242.8893580140818</v>
      </c>
      <c r="J161" s="22">
        <f t="shared" si="96"/>
        <v>1319.2014000000001</v>
      </c>
      <c r="K161" s="28">
        <f t="shared" si="97"/>
        <v>-0.45515862960776088</v>
      </c>
      <c r="L161" s="28">
        <f t="shared" si="98"/>
        <v>0.73197014552405459</v>
      </c>
      <c r="M161" s="28">
        <f t="shared" si="99"/>
        <v>-1.2961395716278346</v>
      </c>
      <c r="N161" s="28">
        <f t="shared" si="100"/>
        <v>-0.10901079649601925</v>
      </c>
      <c r="O161" s="28">
        <f t="shared" si="101"/>
        <v>749.18388307869373</v>
      </c>
      <c r="P161" s="28">
        <f t="shared" si="102"/>
        <v>521.86137076009902</v>
      </c>
      <c r="Q161" s="28">
        <f t="shared" si="103"/>
        <v>-20.443792140594326</v>
      </c>
      <c r="R161" s="28">
        <f t="shared" si="104"/>
        <v>147.0144187247605</v>
      </c>
      <c r="S161" s="22">
        <f t="shared" si="105"/>
        <v>1254.169030764858</v>
      </c>
      <c r="T161" s="22">
        <f t="shared" si="106"/>
        <v>1293.0786000000001</v>
      </c>
      <c r="U161" s="28">
        <f t="shared" si="107"/>
        <v>-0.49200678422600519</v>
      </c>
      <c r="V161" s="28">
        <f t="shared" si="108"/>
        <v>0.69512199090580995</v>
      </c>
      <c r="W161" s="28">
        <f t="shared" si="109"/>
        <v>-1.2592914170095901</v>
      </c>
      <c r="X161" s="28">
        <f t="shared" si="110"/>
        <v>-7.2162641877774547E-2</v>
      </c>
      <c r="Y161" s="28">
        <f t="shared" si="111"/>
        <v>766.87886497095189</v>
      </c>
      <c r="Z161" s="28">
        <f t="shared" si="112"/>
        <v>541.40279005921172</v>
      </c>
      <c r="AA161" s="28">
        <f t="shared" si="113"/>
        <v>-22.114594736553016</v>
      </c>
      <c r="AB161" s="28">
        <f t="shared" si="114"/>
        <v>148.50021172681954</v>
      </c>
      <c r="AC161" s="22">
        <f t="shared" si="115"/>
        <v>1231.4710158677274</v>
      </c>
      <c r="AD161" s="43">
        <f t="shared" si="116"/>
        <v>0.86889670698128196</v>
      </c>
      <c r="AE161" s="22">
        <f t="shared" si="117"/>
        <v>1134.9007448565317</v>
      </c>
      <c r="AF161" s="22">
        <f t="shared" si="118"/>
        <v>107.98861315755016</v>
      </c>
      <c r="AG161" s="30">
        <f t="shared" si="119"/>
        <v>0.91311486218685067</v>
      </c>
    </row>
    <row r="162" spans="1:33" x14ac:dyDescent="0.2">
      <c r="A162" s="35">
        <f>P2_TaskV_Valuation!A162</f>
        <v>46139</v>
      </c>
      <c r="B162" s="36">
        <f>P2_TaskV_Valuation!B162</f>
        <v>1332.48</v>
      </c>
      <c r="C162" s="45">
        <f>P2_TaskV_Valuation!N162</f>
        <v>2.475683116114661E-2</v>
      </c>
      <c r="D162" s="37">
        <f>P2_TaskV_Valuation!C162</f>
        <v>0.497</v>
      </c>
      <c r="E162" s="46">
        <f>P2_TaskV_Valuation!D162</f>
        <v>1.1424657534246576</v>
      </c>
      <c r="F162" s="47">
        <f>P2_TaskV_Valuation!O162</f>
        <v>1.8756831161146612E-2</v>
      </c>
      <c r="G162" s="47">
        <f>P2_TaskV_Valuation!P162</f>
        <v>0.53122436247565985</v>
      </c>
      <c r="H162" s="47">
        <f>P2_TaskV_Valuation!Q162</f>
        <v>-0.4240641791953062</v>
      </c>
      <c r="I162" s="36">
        <f>P2_TaskV_Valuation!AB162</f>
        <v>1274.7041291101673</v>
      </c>
      <c r="J162" s="22">
        <f t="shared" si="96"/>
        <v>1345.8048000000001</v>
      </c>
      <c r="K162" s="28">
        <f t="shared" si="97"/>
        <v>-0.43978834510796744</v>
      </c>
      <c r="L162" s="28">
        <f t="shared" si="98"/>
        <v>0.773177516223434</v>
      </c>
      <c r="M162" s="28">
        <f t="shared" si="99"/>
        <v>-1.3742410990870966</v>
      </c>
      <c r="N162" s="28">
        <f t="shared" si="100"/>
        <v>-0.16127523775569547</v>
      </c>
      <c r="O162" s="28">
        <f t="shared" si="101"/>
        <v>726.4597410311161</v>
      </c>
      <c r="P162" s="28">
        <f t="shared" si="102"/>
        <v>492.59547426460108</v>
      </c>
      <c r="Q162" s="28">
        <f t="shared" si="103"/>
        <v>-16.986459136072426</v>
      </c>
      <c r="R162" s="28">
        <f t="shared" si="104"/>
        <v>148.49994235140866</v>
      </c>
      <c r="S162" s="22">
        <f t="shared" si="105"/>
        <v>1286.1429467663788</v>
      </c>
      <c r="T162" s="22">
        <f t="shared" si="106"/>
        <v>1319.1551999999999</v>
      </c>
      <c r="U162" s="28">
        <f t="shared" si="107"/>
        <v>-0.47743847586149807</v>
      </c>
      <c r="V162" s="28">
        <f t="shared" si="108"/>
        <v>0.73552738546990326</v>
      </c>
      <c r="W162" s="28">
        <f t="shared" si="109"/>
        <v>-1.3365909683335657</v>
      </c>
      <c r="X162" s="28">
        <f t="shared" si="110"/>
        <v>-0.1236251070021645</v>
      </c>
      <c r="Y162" s="28">
        <f t="shared" si="111"/>
        <v>744.37064344625151</v>
      </c>
      <c r="Z162" s="28">
        <f t="shared" si="112"/>
        <v>512.08845351278705</v>
      </c>
      <c r="AA162" s="28">
        <f t="shared" si="113"/>
        <v>-18.449371843191315</v>
      </c>
      <c r="AB162" s="28">
        <f t="shared" si="114"/>
        <v>150.57356410626676</v>
      </c>
      <c r="AC162" s="22">
        <f t="shared" si="115"/>
        <v>1263.1134330562161</v>
      </c>
      <c r="AD162" s="43">
        <f t="shared" si="116"/>
        <v>0.86415982642001177</v>
      </c>
      <c r="AE162" s="22">
        <f t="shared" si="117"/>
        <v>1151.4756855081373</v>
      </c>
      <c r="AF162" s="22">
        <f t="shared" si="118"/>
        <v>123.22844360202998</v>
      </c>
      <c r="AG162" s="30">
        <f t="shared" si="119"/>
        <v>0.90332780698839343</v>
      </c>
    </row>
    <row r="163" spans="1:33" x14ac:dyDescent="0.2">
      <c r="A163" s="35">
        <f>P2_TaskV_Valuation!A163</f>
        <v>46140</v>
      </c>
      <c r="B163" s="36">
        <f>P2_TaskV_Valuation!B163</f>
        <v>1329.91</v>
      </c>
      <c r="C163" s="45">
        <f>P2_TaskV_Valuation!N163</f>
        <v>2.5429438244022742E-2</v>
      </c>
      <c r="D163" s="37">
        <f>P2_TaskV_Valuation!C163</f>
        <v>0.48199999999999998</v>
      </c>
      <c r="E163" s="46">
        <f>P2_TaskV_Valuation!D163</f>
        <v>1.1397260273972603</v>
      </c>
      <c r="F163" s="47">
        <f>P2_TaskV_Valuation!O163</f>
        <v>1.942943824402274E-2</v>
      </c>
      <c r="G163" s="47">
        <f>P2_TaskV_Valuation!P163</f>
        <v>0.51457332770854058</v>
      </c>
      <c r="H163" s="47">
        <f>P2_TaskV_Valuation!Q163</f>
        <v>-0.41636921607744898</v>
      </c>
      <c r="I163" s="36">
        <f>P2_TaskV_Valuation!AB163</f>
        <v>1285.5600248176963</v>
      </c>
      <c r="J163" s="22">
        <f t="shared" si="96"/>
        <v>1343.2091</v>
      </c>
      <c r="K163" s="28">
        <f t="shared" si="97"/>
        <v>-0.47330181057249882</v>
      </c>
      <c r="L163" s="28">
        <f t="shared" si="98"/>
        <v>0.77891431042218184</v>
      </c>
      <c r="M163" s="28">
        <f t="shared" si="99"/>
        <v>-1.4304887621445204</v>
      </c>
      <c r="N163" s="28">
        <f t="shared" si="100"/>
        <v>-0.17827264114983959</v>
      </c>
      <c r="O163" s="28">
        <f t="shared" si="101"/>
        <v>719.05908017292268</v>
      </c>
      <c r="P163" s="28">
        <f t="shared" si="102"/>
        <v>478.06205824727982</v>
      </c>
      <c r="Q163" s="28">
        <f t="shared" si="103"/>
        <v>-14.610862007160485</v>
      </c>
      <c r="R163" s="28">
        <f t="shared" si="104"/>
        <v>152.86990186324567</v>
      </c>
      <c r="S163" s="22">
        <f t="shared" si="105"/>
        <v>1297.3239267238464</v>
      </c>
      <c r="T163" s="22">
        <f t="shared" si="106"/>
        <v>1316.6109000000001</v>
      </c>
      <c r="U163" s="28">
        <f t="shared" si="107"/>
        <v>-0.51217025872105482</v>
      </c>
      <c r="V163" s="28">
        <f t="shared" si="108"/>
        <v>0.74004586227362568</v>
      </c>
      <c r="W163" s="28">
        <f t="shared" si="109"/>
        <v>-1.3916203139959638</v>
      </c>
      <c r="X163" s="28">
        <f t="shared" si="110"/>
        <v>-0.13940419300128321</v>
      </c>
      <c r="Y163" s="28">
        <f t="shared" si="111"/>
        <v>737.25682254120295</v>
      </c>
      <c r="Z163" s="28">
        <f t="shared" si="112"/>
        <v>497.86011059631164</v>
      </c>
      <c r="AA163" s="28">
        <f t="shared" si="113"/>
        <v>-15.943042913157939</v>
      </c>
      <c r="AB163" s="28">
        <f t="shared" si="114"/>
        <v>155.42897877903761</v>
      </c>
      <c r="AC163" s="22">
        <f t="shared" si="115"/>
        <v>1273.6346165530251</v>
      </c>
      <c r="AD163" s="43">
        <f t="shared" si="116"/>
        <v>0.89063583892223053</v>
      </c>
      <c r="AE163" s="22">
        <f t="shared" si="117"/>
        <v>1184.4655085410636</v>
      </c>
      <c r="AF163" s="22">
        <f t="shared" si="118"/>
        <v>101.0945162766327</v>
      </c>
      <c r="AG163" s="30">
        <f t="shared" si="119"/>
        <v>0.92136149668237488</v>
      </c>
    </row>
    <row r="164" spans="1:33" x14ac:dyDescent="0.2">
      <c r="A164" s="35">
        <f>P2_TaskV_Valuation!A164</f>
        <v>46141</v>
      </c>
      <c r="B164" s="36">
        <f>P2_TaskV_Valuation!B164</f>
        <v>1324.76</v>
      </c>
      <c r="C164" s="45">
        <f>P2_TaskV_Valuation!N164</f>
        <v>2.5926366431511319E-2</v>
      </c>
      <c r="D164" s="37">
        <f>P2_TaskV_Valuation!C164</f>
        <v>0.46800000000000003</v>
      </c>
      <c r="E164" s="46">
        <f>P2_TaskV_Valuation!D164</f>
        <v>1.1369863013698631</v>
      </c>
      <c r="F164" s="47">
        <f>P2_TaskV_Valuation!O164</f>
        <v>1.9926366431511321E-2</v>
      </c>
      <c r="G164" s="47">
        <f>P2_TaskV_Valuation!P164</f>
        <v>0.49902633965676896</v>
      </c>
      <c r="H164" s="47">
        <f>P2_TaskV_Valuation!Q164</f>
        <v>-0.40902199561914993</v>
      </c>
      <c r="I164" s="36">
        <f>P2_TaskV_Valuation!AB164</f>
        <v>1293.5117567201619</v>
      </c>
      <c r="J164" s="22">
        <f t="shared" ref="J164:J186" si="120">B164*(1+dS)</f>
        <v>1338.0075999999999</v>
      </c>
      <c r="K164" s="28">
        <f t="shared" ref="K164:K195" si="121">LN(J164/Cap)/G164+(1+H164)*G164</f>
        <v>-0.51058605327603934</v>
      </c>
      <c r="L164" s="28">
        <f t="shared" ref="L164:L186" si="122">LN(J164/Barrier)/G164+(1+H164)*G164</f>
        <v>0.78064241541301427</v>
      </c>
      <c r="M164" s="28">
        <f t="shared" ref="M164:M186" si="123">LN(Barrier^2/(J164*Cap))/G164+(1+H164)*G164</f>
        <v>-1.4820437034143925</v>
      </c>
      <c r="N164" s="28">
        <f t="shared" ref="N164:N186" si="124">LN(Barrier/J164)/G164+(1+H164)*G164</f>
        <v>-0.19081523472533901</v>
      </c>
      <c r="O164" s="28">
        <f t="shared" ref="O164:O186" si="125">-J164*EXP((F164-C164)*E164)*NORMSDIST(-K164)+Cap*EXP(-C164*E164)*NORMSDIST(-K164+G164)</f>
        <v>714.47461372773637</v>
      </c>
      <c r="P164" s="28">
        <f t="shared" ref="P164:P186" si="126">-J164*EXP((F164-C164)*E164)*NORMSDIST(-L164)+Cap*EXP(-C164*E164)*NORMSDIST(-L164+G164)</f>
        <v>466.58525289804032</v>
      </c>
      <c r="Q164" s="28">
        <f t="shared" ref="Q164:Q186" si="127">-J164*EXP((F164-C164)*E164)*(Barrier/J164)^(2*(H164+1))*NORMSDIST(M164)+Cap*EXP(-C164*E164)*(Barrier/J164)^(2*H164)*NORMSDIST(M164-G164)</f>
        <v>-12.683010133434585</v>
      </c>
      <c r="R164" s="28">
        <f t="shared" ref="R164:R186" si="128">-J164*EXP((F164-C164)*E164)*(Barrier/J164)^(2*(H164+1))*NORMSDIST(N164)+Cap*EXP(-C164*E164)*(Barrier/J164)^(2*H164)*NORMSDIST(N164-G164)</f>
        <v>157.02627136241239</v>
      </c>
      <c r="S164" s="22">
        <f t="shared" ref="S164:S195" si="129">Cap*EXP(-C164*E164)-O164+IF(J164&lt;=Barrier,0,O164-P164+Q164-R164)</f>
        <v>1305.6100909175614</v>
      </c>
      <c r="T164" s="22">
        <f t="shared" ref="T164:T186" si="130">B164*(1-dS)</f>
        <v>1311.5124000000001</v>
      </c>
      <c r="U164" s="28">
        <f t="shared" ref="U164:U195" si="131">LN(T164/Cap)/G164+(1+H164)*G164</f>
        <v>-0.55066543409675095</v>
      </c>
      <c r="V164" s="28">
        <f t="shared" ref="V164:V186" si="132">LN(T164/Barrier)/G164+(1+H164)*G164</f>
        <v>0.74056303459230288</v>
      </c>
      <c r="W164" s="28">
        <f t="shared" ref="W164:W186" si="133">LN(Barrier^2/(T164*Cap))/G164+(1+H164)*G164</f>
        <v>-1.4419643225936811</v>
      </c>
      <c r="X164" s="28">
        <f t="shared" ref="X164:X186" si="134">LN(Barrier/T164)/G164+(1+H164)*G164</f>
        <v>-0.15073585390462746</v>
      </c>
      <c r="Y164" s="28">
        <f t="shared" ref="Y164:Y186" si="135">-T164*EXP((F164-C164)*E164)*NORMSDIST(-U164)+Cap*EXP(-C164*E164)*NORMSDIST(-U164+G164)</f>
        <v>732.95109246614959</v>
      </c>
      <c r="Z164" s="28">
        <f t="shared" ref="Z164:Z186" si="136">-T164*EXP((F164-C164)*E164)*NORMSDIST(-V164)+Cap*EXP(-C164*E164)*NORMSDIST(-V164+G164)</f>
        <v>486.71689303955054</v>
      </c>
      <c r="AA164" s="28">
        <f t="shared" ref="AA164:AA186" si="137">-T164*EXP((F164-C164)*E164)*(Barrier/T164)^(2*(H164+1))*NORMSDIST(W164)+Cap*EXP(-C164*E164)*(Barrier/T164)^(2*H164)*NORMSDIST(W164-G164)</f>
        <v>-13.902943702980942</v>
      </c>
      <c r="AB164" s="28">
        <f t="shared" ref="AB164:AB186" si="138">-T164*EXP((F164-C164)*E164)*(Barrier/T164)^(2*(H164+1))*NORMSDIST(X164)+Cap*EXP(-C164*E164)*(Barrier/T164)^(2*H164)*NORMSDIST(X164-G164)</f>
        <v>160.04208385396828</v>
      </c>
      <c r="AC164" s="22">
        <f t="shared" ref="AC164:AC195" si="139">Cap*EXP(-C164*E164)-Y164+IF(T164&lt;=Barrier,0,Y164-Z164+AA164-AB164)</f>
        <v>1281.2427047149488</v>
      </c>
      <c r="AD164" s="43">
        <f t="shared" ref="AD164:AD195" si="140">(S164-AC164)/(2*dS*B164)</f>
        <v>0.91969059311167978</v>
      </c>
      <c r="AE164" s="22">
        <f t="shared" ref="AE164:AE195" si="141">AD164*B164</f>
        <v>1218.3693101306289</v>
      </c>
      <c r="AF164" s="22">
        <f t="shared" ref="AF164:AF195" si="142">I164-AE164</f>
        <v>75.142446589532938</v>
      </c>
      <c r="AG164" s="30">
        <f t="shared" ref="AG164:AG186" si="143">AE164/I164</f>
        <v>0.94190818429044298</v>
      </c>
    </row>
    <row r="165" spans="1:33" x14ac:dyDescent="0.2">
      <c r="A165" s="35">
        <f>P2_TaskV_Valuation!A165</f>
        <v>46142</v>
      </c>
      <c r="B165" s="36">
        <f>P2_TaskV_Valuation!B165</f>
        <v>1342.38</v>
      </c>
      <c r="C165" s="45">
        <f>P2_TaskV_Valuation!N165</f>
        <v>2.5325642486150737E-2</v>
      </c>
      <c r="D165" s="37">
        <f>P2_TaskV_Valuation!C165</f>
        <v>0.45600000000000002</v>
      </c>
      <c r="E165" s="46">
        <f>P2_TaskV_Valuation!D165</f>
        <v>1.1342465753424658</v>
      </c>
      <c r="F165" s="47">
        <f>P2_TaskV_Valuation!O165</f>
        <v>1.9325642486150735E-2</v>
      </c>
      <c r="G165" s="47">
        <f>P2_TaskV_Valuation!P165</f>
        <v>0.48564461892459077</v>
      </c>
      <c r="H165" s="47">
        <f>P2_TaskV_Valuation!Q165</f>
        <v>-0.40705966025050622</v>
      </c>
      <c r="I165" s="36">
        <f>P2_TaskV_Valuation!AB165</f>
        <v>1321.4872504483521</v>
      </c>
      <c r="J165" s="22">
        <f t="shared" si="120"/>
        <v>1355.8038000000001</v>
      </c>
      <c r="K165" s="28">
        <f t="shared" si="121"/>
        <v>-0.51252971890358578</v>
      </c>
      <c r="L165" s="28">
        <f t="shared" si="122"/>
        <v>0.81427797396733403</v>
      </c>
      <c r="M165" s="28">
        <f t="shared" si="123"/>
        <v>-1.565169096152933</v>
      </c>
      <c r="N165" s="28">
        <f t="shared" si="124"/>
        <v>-0.23836140328201333</v>
      </c>
      <c r="O165" s="28">
        <f t="shared" si="125"/>
        <v>697.13113385924169</v>
      </c>
      <c r="P165" s="28">
        <f t="shared" si="126"/>
        <v>441.66121268730706</v>
      </c>
      <c r="Q165" s="28">
        <f t="shared" si="127"/>
        <v>-10.248199163527914</v>
      </c>
      <c r="R165" s="28">
        <f t="shared" si="128"/>
        <v>157.65015779146847</v>
      </c>
      <c r="S165" s="22">
        <f t="shared" si="129"/>
        <v>1333.8066949337433</v>
      </c>
      <c r="T165" s="22">
        <f t="shared" si="130"/>
        <v>1328.9562000000001</v>
      </c>
      <c r="U165" s="28">
        <f t="shared" si="131"/>
        <v>-0.55371346917545927</v>
      </c>
      <c r="V165" s="28">
        <f t="shared" si="132"/>
        <v>0.77309422369546033</v>
      </c>
      <c r="W165" s="28">
        <f t="shared" si="133"/>
        <v>-1.5239853458810595</v>
      </c>
      <c r="X165" s="28">
        <f t="shared" si="134"/>
        <v>-0.1971776530101399</v>
      </c>
      <c r="Y165" s="28">
        <f t="shared" si="135"/>
        <v>715.87668038665379</v>
      </c>
      <c r="Z165" s="28">
        <f t="shared" si="136"/>
        <v>461.82201267804095</v>
      </c>
      <c r="AA165" s="28">
        <f t="shared" si="137"/>
        <v>-11.293275222385482</v>
      </c>
      <c r="AB165" s="28">
        <f t="shared" si="138"/>
        <v>161.269862996965</v>
      </c>
      <c r="AC165" s="22">
        <f t="shared" si="139"/>
        <v>1308.9811136786554</v>
      </c>
      <c r="AD165" s="43">
        <f t="shared" si="140"/>
        <v>0.92468530725606202</v>
      </c>
      <c r="AE165" s="22">
        <f t="shared" si="141"/>
        <v>1241.2790627543927</v>
      </c>
      <c r="AF165" s="22">
        <f t="shared" si="142"/>
        <v>80.208187693959417</v>
      </c>
      <c r="AG165" s="30">
        <f t="shared" si="143"/>
        <v>0.93930460723949738</v>
      </c>
    </row>
    <row r="166" spans="1:33" x14ac:dyDescent="0.2">
      <c r="A166" s="35">
        <f>P2_TaskV_Valuation!A166</f>
        <v>46146</v>
      </c>
      <c r="B166" s="36">
        <f>P2_TaskV_Valuation!B166</f>
        <v>1374.46</v>
      </c>
      <c r="C166" s="45">
        <f>P2_TaskV_Valuation!N166</f>
        <v>2.5549023956515211E-2</v>
      </c>
      <c r="D166" s="37">
        <f>P2_TaskV_Valuation!C166</f>
        <v>0.45200000000000001</v>
      </c>
      <c r="E166" s="46">
        <f>P2_TaskV_Valuation!D166</f>
        <v>1.1232876712328768</v>
      </c>
      <c r="F166" s="47">
        <f>P2_TaskV_Valuation!O166</f>
        <v>1.9549023956515213E-2</v>
      </c>
      <c r="G166" s="47">
        <f>P2_TaskV_Valuation!P166</f>
        <v>0.47905340452141837</v>
      </c>
      <c r="H166" s="47">
        <f>P2_TaskV_Valuation!Q166</f>
        <v>-0.40431404203287646</v>
      </c>
      <c r="I166" s="36">
        <f>P2_TaskV_Valuation!AB166</f>
        <v>1356.8978982699402</v>
      </c>
      <c r="J166" s="22">
        <f t="shared" si="120"/>
        <v>1388.2046</v>
      </c>
      <c r="K166" s="28">
        <f t="shared" si="121"/>
        <v>-0.47683757396517612</v>
      </c>
      <c r="L166" s="28">
        <f t="shared" si="122"/>
        <v>0.86822544053158057</v>
      </c>
      <c r="M166" s="28">
        <f t="shared" si="123"/>
        <v>-1.6425576826488317</v>
      </c>
      <c r="N166" s="28">
        <f t="shared" si="124"/>
        <v>-0.29749466815207448</v>
      </c>
      <c r="O166" s="28">
        <f t="shared" si="125"/>
        <v>671.74989829134302</v>
      </c>
      <c r="P166" s="28">
        <f t="shared" si="126"/>
        <v>411.80466979439427</v>
      </c>
      <c r="Q166" s="28">
        <f t="shared" si="127"/>
        <v>-8.4194678426259131</v>
      </c>
      <c r="R166" s="28">
        <f t="shared" si="128"/>
        <v>154.01029179037278</v>
      </c>
      <c r="S166" s="22">
        <f t="shared" si="129"/>
        <v>1369.1835675395384</v>
      </c>
      <c r="T166" s="22">
        <f t="shared" si="130"/>
        <v>1360.7154</v>
      </c>
      <c r="U166" s="28">
        <f t="shared" si="131"/>
        <v>-0.51858796446005329</v>
      </c>
      <c r="V166" s="28">
        <f t="shared" si="132"/>
        <v>0.82647505003670352</v>
      </c>
      <c r="W166" s="28">
        <f t="shared" si="133"/>
        <v>-1.6008072921539545</v>
      </c>
      <c r="X166" s="28">
        <f t="shared" si="134"/>
        <v>-0.25574427765719743</v>
      </c>
      <c r="Y166" s="28">
        <f t="shared" si="135"/>
        <v>690.60695466976154</v>
      </c>
      <c r="Z166" s="28">
        <f t="shared" si="136"/>
        <v>431.58825783254895</v>
      </c>
      <c r="AA166" s="28">
        <f t="shared" si="137"/>
        <v>-9.3153016426967525</v>
      </c>
      <c r="AB166" s="28">
        <f t="shared" si="138"/>
        <v>158.10500210847374</v>
      </c>
      <c r="AC166" s="22">
        <f t="shared" si="139"/>
        <v>1344.409435383212</v>
      </c>
      <c r="AD166" s="43">
        <f t="shared" si="140"/>
        <v>0.90123147113508062</v>
      </c>
      <c r="AE166" s="22">
        <f t="shared" si="141"/>
        <v>1238.706607816323</v>
      </c>
      <c r="AF166" s="22">
        <f t="shared" si="142"/>
        <v>118.19129045361728</v>
      </c>
      <c r="AG166" s="30">
        <f t="shared" si="143"/>
        <v>0.91289595878635199</v>
      </c>
    </row>
    <row r="167" spans="1:33" x14ac:dyDescent="0.2">
      <c r="A167" s="35">
        <f>P2_TaskV_Valuation!A167</f>
        <v>46147</v>
      </c>
      <c r="B167" s="36">
        <f>P2_TaskV_Valuation!B167</f>
        <v>1421.19</v>
      </c>
      <c r="C167" s="45">
        <f>P2_TaskV_Valuation!N167</f>
        <v>2.5531898143287778E-2</v>
      </c>
      <c r="D167" s="37">
        <f>P2_TaskV_Valuation!C167</f>
        <v>0.45700000000000002</v>
      </c>
      <c r="E167" s="46">
        <f>P2_TaskV_Valuation!D167</f>
        <v>1.1205479452054794</v>
      </c>
      <c r="F167" s="47">
        <f>P2_TaskV_Valuation!O167</f>
        <v>1.9531898143287776E-2</v>
      </c>
      <c r="G167" s="47">
        <f>P2_TaskV_Valuation!P167</f>
        <v>0.48376163325362953</v>
      </c>
      <c r="H167" s="47">
        <f>P2_TaskV_Valuation!Q167</f>
        <v>-0.40647837364178052</v>
      </c>
      <c r="I167" s="36">
        <f>P2_TaskV_Valuation!AB167</f>
        <v>1393.1448763467522</v>
      </c>
      <c r="J167" s="22">
        <f t="shared" si="120"/>
        <v>1435.4019000000001</v>
      </c>
      <c r="K167" s="28">
        <f t="shared" si="121"/>
        <v>-0.39855003040004544</v>
      </c>
      <c r="L167" s="28">
        <f t="shared" si="122"/>
        <v>0.93342210649053314</v>
      </c>
      <c r="M167" s="28">
        <f t="shared" si="123"/>
        <v>-1.6911482607043067</v>
      </c>
      <c r="N167" s="28">
        <f t="shared" si="124"/>
        <v>-0.35917612381372799</v>
      </c>
      <c r="O167" s="28">
        <f t="shared" si="125"/>
        <v>642.90519138116531</v>
      </c>
      <c r="P167" s="28">
        <f t="shared" si="126"/>
        <v>384.59775814174054</v>
      </c>
      <c r="Q167" s="28">
        <f t="shared" si="127"/>
        <v>-7.5292016262425179</v>
      </c>
      <c r="R167" s="28">
        <f t="shared" si="128"/>
        <v>146.41349615502497</v>
      </c>
      <c r="S167" s="22">
        <f t="shared" si="129"/>
        <v>1405.05087760078</v>
      </c>
      <c r="T167" s="22">
        <f t="shared" si="130"/>
        <v>1406.9781</v>
      </c>
      <c r="U167" s="28">
        <f t="shared" si="131"/>
        <v>-0.43989408361102711</v>
      </c>
      <c r="V167" s="28">
        <f t="shared" si="132"/>
        <v>0.89207805327955125</v>
      </c>
      <c r="W167" s="28">
        <f t="shared" si="133"/>
        <v>-1.6498042074933248</v>
      </c>
      <c r="X167" s="28">
        <f t="shared" si="134"/>
        <v>-0.3178320706027461</v>
      </c>
      <c r="Y167" s="28">
        <f t="shared" si="135"/>
        <v>661.60799979806916</v>
      </c>
      <c r="Z167" s="28">
        <f t="shared" si="136"/>
        <v>403.58696319865692</v>
      </c>
      <c r="AA167" s="28">
        <f t="shared" si="137"/>
        <v>-8.3351731326190546</v>
      </c>
      <c r="AB167" s="28">
        <f t="shared" si="138"/>
        <v>150.64186680919488</v>
      </c>
      <c r="AC167" s="22">
        <f t="shared" si="139"/>
        <v>1381.0273303833173</v>
      </c>
      <c r="AD167" s="43">
        <f t="shared" si="140"/>
        <v>0.84519125583006816</v>
      </c>
      <c r="AE167" s="22">
        <f t="shared" si="141"/>
        <v>1201.1773608731346</v>
      </c>
      <c r="AF167" s="22">
        <f t="shared" si="142"/>
        <v>191.9675154736176</v>
      </c>
      <c r="AG167" s="30">
        <f t="shared" si="143"/>
        <v>0.86220563364736724</v>
      </c>
    </row>
    <row r="168" spans="1:33" x14ac:dyDescent="0.2">
      <c r="A168" s="35">
        <f>P2_TaskV_Valuation!A168</f>
        <v>46148</v>
      </c>
      <c r="B168" s="36">
        <f>P2_TaskV_Valuation!B168</f>
        <v>1427.33</v>
      </c>
      <c r="C168" s="45">
        <f>P2_TaskV_Valuation!N168</f>
        <v>2.4823261264452182E-2</v>
      </c>
      <c r="D168" s="37">
        <f>P2_TaskV_Valuation!C168</f>
        <v>0.443</v>
      </c>
      <c r="E168" s="46">
        <f>P2_TaskV_Valuation!D168</f>
        <v>1.1178082191780823</v>
      </c>
      <c r="F168" s="47">
        <f>P2_TaskV_Valuation!O168</f>
        <v>1.8823261264452183E-2</v>
      </c>
      <c r="G168" s="47">
        <f>P2_TaskV_Valuation!P168</f>
        <v>0.46836817270762476</v>
      </c>
      <c r="H168" s="47">
        <f>P2_TaskV_Valuation!Q168</f>
        <v>-0.40408480418013754</v>
      </c>
      <c r="I168" s="36">
        <f>P2_TaskV_Valuation!AB168</f>
        <v>1414.5460834531309</v>
      </c>
      <c r="J168" s="22">
        <f t="shared" si="120"/>
        <v>1441.6033</v>
      </c>
      <c r="K168" s="28">
        <f t="shared" si="121"/>
        <v>-0.41989641113876247</v>
      </c>
      <c r="L168" s="28">
        <f t="shared" si="122"/>
        <v>0.95585252727757242</v>
      </c>
      <c r="M168" s="28">
        <f t="shared" si="123"/>
        <v>-1.7733860429841963</v>
      </c>
      <c r="N168" s="28">
        <f t="shared" si="124"/>
        <v>-0.39763710456786144</v>
      </c>
      <c r="O168" s="28">
        <f t="shared" si="125"/>
        <v>632.12260739602493</v>
      </c>
      <c r="P168" s="28">
        <f t="shared" si="126"/>
        <v>365.96271906145421</v>
      </c>
      <c r="Q168" s="28">
        <f t="shared" si="127"/>
        <v>-5.989519578997001</v>
      </c>
      <c r="R168" s="28">
        <f t="shared" si="128"/>
        <v>146.62012889056149</v>
      </c>
      <c r="S168" s="22">
        <f t="shared" si="129"/>
        <v>1426.6952012231591</v>
      </c>
      <c r="T168" s="22">
        <f t="shared" si="130"/>
        <v>1413.0566999999999</v>
      </c>
      <c r="U168" s="28">
        <f t="shared" si="131"/>
        <v>-0.46259928437424785</v>
      </c>
      <c r="V168" s="28">
        <f t="shared" si="132"/>
        <v>0.91314965404208714</v>
      </c>
      <c r="W168" s="28">
        <f t="shared" si="133"/>
        <v>-1.7306831697487113</v>
      </c>
      <c r="X168" s="28">
        <f t="shared" si="134"/>
        <v>-0.35493423133237617</v>
      </c>
      <c r="Y168" s="28">
        <f t="shared" si="135"/>
        <v>651.13360926499297</v>
      </c>
      <c r="Z168" s="28">
        <f t="shared" si="136"/>
        <v>385.04555509879867</v>
      </c>
      <c r="AA168" s="28">
        <f t="shared" si="137"/>
        <v>-6.6719393345689824</v>
      </c>
      <c r="AB168" s="28">
        <f t="shared" si="138"/>
        <v>151.38159664603154</v>
      </c>
      <c r="AC168" s="22">
        <f t="shared" si="139"/>
        <v>1402.1684776747725</v>
      </c>
      <c r="AD168" s="43">
        <f t="shared" si="140"/>
        <v>0.85918195331095826</v>
      </c>
      <c r="AE168" s="22">
        <f t="shared" si="141"/>
        <v>1226.3361774193299</v>
      </c>
      <c r="AF168" s="22">
        <f t="shared" si="142"/>
        <v>188.20990603380096</v>
      </c>
      <c r="AG168" s="30">
        <f t="shared" si="143"/>
        <v>0.86694678368176536</v>
      </c>
    </row>
    <row r="169" spans="1:33" x14ac:dyDescent="0.2">
      <c r="A169" s="35">
        <f>P2_TaskV_Valuation!A169</f>
        <v>46149</v>
      </c>
      <c r="B169" s="36">
        <f>P2_TaskV_Valuation!B169</f>
        <v>1328.32</v>
      </c>
      <c r="C169" s="45">
        <f>P2_TaskV_Valuation!N169</f>
        <v>2.4627064580706414E-2</v>
      </c>
      <c r="D169" s="37">
        <f>P2_TaskV_Valuation!C169</f>
        <v>0.51300000000000001</v>
      </c>
      <c r="E169" s="46">
        <f>P2_TaskV_Valuation!D169</f>
        <v>1.1150684931506849</v>
      </c>
      <c r="F169" s="47">
        <f>P2_TaskV_Valuation!O169</f>
        <v>1.8627064580706412E-2</v>
      </c>
      <c r="G169" s="47">
        <f>P2_TaskV_Valuation!P169</f>
        <v>0.54171160249155881</v>
      </c>
      <c r="H169" s="47">
        <f>P2_TaskV_Valuation!Q169</f>
        <v>-0.4292201415033442</v>
      </c>
      <c r="I169" s="36">
        <f>P2_TaskV_Valuation!AB169</f>
        <v>1263.3888271734336</v>
      </c>
      <c r="J169" s="22">
        <f t="shared" si="120"/>
        <v>1341.6032</v>
      </c>
      <c r="K169" s="28">
        <f t="shared" si="121"/>
        <v>-0.42787653021893146</v>
      </c>
      <c r="L169" s="28">
        <f t="shared" si="122"/>
        <v>0.76160697618345163</v>
      </c>
      <c r="M169" s="28">
        <f t="shared" si="123"/>
        <v>-1.3326943389535777</v>
      </c>
      <c r="N169" s="28">
        <f t="shared" si="124"/>
        <v>-0.14321083255119454</v>
      </c>
      <c r="O169" s="28">
        <f t="shared" si="125"/>
        <v>735.51748047124659</v>
      </c>
      <c r="P169" s="28">
        <f t="shared" si="126"/>
        <v>506.20097925905191</v>
      </c>
      <c r="Q169" s="28">
        <f t="shared" si="127"/>
        <v>-18.90171936429887</v>
      </c>
      <c r="R169" s="28">
        <f t="shared" si="128"/>
        <v>146.07099560621151</v>
      </c>
      <c r="S169" s="22">
        <f t="shared" si="129"/>
        <v>1274.651821617904</v>
      </c>
      <c r="T169" s="22">
        <f t="shared" si="130"/>
        <v>1315.0367999999999</v>
      </c>
      <c r="U169" s="28">
        <f t="shared" si="131"/>
        <v>-0.4647977750559964</v>
      </c>
      <c r="V169" s="28">
        <f t="shared" si="132"/>
        <v>0.72468573134638681</v>
      </c>
      <c r="W169" s="28">
        <f t="shared" si="133"/>
        <v>-1.2957730941165129</v>
      </c>
      <c r="X169" s="28">
        <f t="shared" si="134"/>
        <v>-0.1062895877141295</v>
      </c>
      <c r="Y169" s="28">
        <f t="shared" si="135"/>
        <v>753.25875795660727</v>
      </c>
      <c r="Z169" s="28">
        <f t="shared" si="136"/>
        <v>525.5757545955546</v>
      </c>
      <c r="AA169" s="28">
        <f t="shared" si="137"/>
        <v>-20.468636277454237</v>
      </c>
      <c r="AB169" s="28">
        <f t="shared" si="138"/>
        <v>147.80017847448499</v>
      </c>
      <c r="AC169" s="22">
        <f t="shared" si="139"/>
        <v>1251.9809464999726</v>
      </c>
      <c r="AD169" s="43">
        <f t="shared" si="140"/>
        <v>0.85336647486793371</v>
      </c>
      <c r="AE169" s="22">
        <f t="shared" si="141"/>
        <v>1133.5437558965737</v>
      </c>
      <c r="AF169" s="22">
        <f t="shared" si="142"/>
        <v>129.84507127685993</v>
      </c>
      <c r="AG169" s="30">
        <f t="shared" si="143"/>
        <v>0.89722477476125784</v>
      </c>
    </row>
    <row r="170" spans="1:33" x14ac:dyDescent="0.2">
      <c r="A170" s="35">
        <f>P2_TaskV_Valuation!A170</f>
        <v>46150</v>
      </c>
      <c r="B170" s="36">
        <f>P2_TaskV_Valuation!B170</f>
        <v>1206.3399999999999</v>
      </c>
      <c r="C170" s="45">
        <f>P2_TaskV_Valuation!N170</f>
        <v>2.4889873746810606E-2</v>
      </c>
      <c r="D170" s="37">
        <f>P2_TaskV_Valuation!C170</f>
        <v>0.6</v>
      </c>
      <c r="E170" s="46">
        <f>P2_TaskV_Valuation!D170</f>
        <v>1.1123287671232878</v>
      </c>
      <c r="F170" s="47">
        <f>P2_TaskV_Valuation!O170</f>
        <v>1.8889873746810608E-2</v>
      </c>
      <c r="G170" s="47">
        <f>P2_TaskV_Valuation!P170</f>
        <v>0.63280198811664901</v>
      </c>
      <c r="H170" s="47">
        <f>P2_TaskV_Valuation!Q170</f>
        <v>-0.44752812848108164</v>
      </c>
      <c r="I170" s="36">
        <f>P2_TaskV_Valuation!AB170</f>
        <v>1102.7193187290918</v>
      </c>
      <c r="J170" s="22">
        <f t="shared" si="120"/>
        <v>1218.4033999999999</v>
      </c>
      <c r="K170" s="28">
        <f t="shared" si="121"/>
        <v>-0.43358735357097705</v>
      </c>
      <c r="L170" s="28">
        <f t="shared" si="122"/>
        <v>0.58467274752044729</v>
      </c>
      <c r="M170" s="28">
        <f t="shared" si="123"/>
        <v>-0.90372225126047678</v>
      </c>
      <c r="N170" s="28">
        <f t="shared" si="124"/>
        <v>0.11453784983094767</v>
      </c>
      <c r="O170" s="28">
        <f t="shared" si="125"/>
        <v>858.8328722824599</v>
      </c>
      <c r="P170" s="28">
        <f t="shared" si="126"/>
        <v>671.8945723077386</v>
      </c>
      <c r="Q170" s="28">
        <f t="shared" si="127"/>
        <v>-49.742435357143847</v>
      </c>
      <c r="R170" s="28">
        <f t="shared" si="128"/>
        <v>111.22994601982862</v>
      </c>
      <c r="S170" s="22">
        <f t="shared" si="129"/>
        <v>1112.5210753878828</v>
      </c>
      <c r="T170" s="22">
        <f t="shared" si="130"/>
        <v>1194.2765999999999</v>
      </c>
      <c r="U170" s="28">
        <f t="shared" si="131"/>
        <v>-0.46519387043132315</v>
      </c>
      <c r="V170" s="28">
        <f t="shared" si="132"/>
        <v>0.55306623066010108</v>
      </c>
      <c r="W170" s="28">
        <f t="shared" si="133"/>
        <v>-0.87211573440013024</v>
      </c>
      <c r="X170" s="28">
        <f t="shared" si="134"/>
        <v>0.1461443666912938</v>
      </c>
      <c r="Y170" s="28">
        <f t="shared" si="135"/>
        <v>874.9717718625127</v>
      </c>
      <c r="Z170" s="28">
        <f t="shared" si="136"/>
        <v>690.34543853665286</v>
      </c>
      <c r="AA170" s="28">
        <f t="shared" si="137"/>
        <v>-52.676749750744477</v>
      </c>
      <c r="AB170" s="28">
        <f t="shared" si="138"/>
        <v>109.53508498976373</v>
      </c>
      <c r="AC170" s="22">
        <f t="shared" si="139"/>
        <v>1092.8307557954327</v>
      </c>
      <c r="AD170" s="43">
        <f t="shared" si="140"/>
        <v>0.81611815874671001</v>
      </c>
      <c r="AE170" s="22">
        <f t="shared" si="141"/>
        <v>984.51597962250605</v>
      </c>
      <c r="AF170" s="22">
        <f t="shared" si="142"/>
        <v>118.20333910658576</v>
      </c>
      <c r="AG170" s="30">
        <f t="shared" si="143"/>
        <v>0.89280741064478886</v>
      </c>
    </row>
    <row r="171" spans="1:33" x14ac:dyDescent="0.2">
      <c r="A171" s="35">
        <f>P2_TaskV_Valuation!A171</f>
        <v>46153</v>
      </c>
      <c r="B171" s="36">
        <f>P2_TaskV_Valuation!B171</f>
        <v>1173.8699999999999</v>
      </c>
      <c r="C171" s="45">
        <f>P2_TaskV_Valuation!N171</f>
        <v>2.5108318263701274E-2</v>
      </c>
      <c r="D171" s="37">
        <f>P2_TaskV_Valuation!C171</f>
        <v>0.6</v>
      </c>
      <c r="E171" s="46">
        <f>P2_TaskV_Valuation!D171</f>
        <v>1.1041095890410959</v>
      </c>
      <c r="F171" s="47">
        <f>P2_TaskV_Valuation!O171</f>
        <v>1.9108318263701275E-2</v>
      </c>
      <c r="G171" s="47">
        <f>P2_TaskV_Valuation!P171</f>
        <v>0.63045971485479901</v>
      </c>
      <c r="H171" s="47">
        <f>P2_TaskV_Valuation!Q171</f>
        <v>-0.44692133815638535</v>
      </c>
      <c r="I171" s="36">
        <f>P2_TaskV_Valuation!AB171</f>
        <v>1077.1054869462664</v>
      </c>
      <c r="J171" s="22">
        <f t="shared" si="120"/>
        <v>1185.6087</v>
      </c>
      <c r="K171" s="28">
        <f t="shared" si="121"/>
        <v>-0.48068648381046908</v>
      </c>
      <c r="L171" s="28">
        <f t="shared" si="122"/>
        <v>0.54135663997407757</v>
      </c>
      <c r="M171" s="28">
        <f t="shared" si="123"/>
        <v>-0.86601213288222612</v>
      </c>
      <c r="N171" s="28">
        <f t="shared" si="124"/>
        <v>0.1560309909023205</v>
      </c>
      <c r="O171" s="28">
        <f t="shared" si="125"/>
        <v>879.75387486096815</v>
      </c>
      <c r="P171" s="28">
        <f t="shared" si="126"/>
        <v>695.29555147586416</v>
      </c>
      <c r="Q171" s="28">
        <f t="shared" si="127"/>
        <v>-53.122493975371725</v>
      </c>
      <c r="R171" s="28">
        <f t="shared" si="128"/>
        <v>109.99332823691338</v>
      </c>
      <c r="S171" s="22">
        <f t="shared" si="129"/>
        <v>1086.9054314005712</v>
      </c>
      <c r="T171" s="22">
        <f t="shared" si="130"/>
        <v>1162.1312999999998</v>
      </c>
      <c r="U171" s="28">
        <f t="shared" si="131"/>
        <v>-0.51241042466730247</v>
      </c>
      <c r="V171" s="28">
        <f t="shared" si="132"/>
        <v>0.50963269911724407</v>
      </c>
      <c r="W171" s="28">
        <f t="shared" si="133"/>
        <v>-0.83428819202539262</v>
      </c>
      <c r="X171" s="28">
        <f t="shared" si="134"/>
        <v>0.18775493175915398</v>
      </c>
      <c r="Y171" s="28">
        <f t="shared" si="135"/>
        <v>895.85145688993373</v>
      </c>
      <c r="Z171" s="28">
        <f t="shared" si="136"/>
        <v>713.91290491565428</v>
      </c>
      <c r="AA171" s="28">
        <f t="shared" si="137"/>
        <v>-56.219827170069493</v>
      </c>
      <c r="AB171" s="28">
        <f t="shared" si="138"/>
        <v>107.95927659485767</v>
      </c>
      <c r="AC171" s="22">
        <f t="shared" si="139"/>
        <v>1067.2247964081389</v>
      </c>
      <c r="AD171" s="43">
        <f t="shared" si="140"/>
        <v>0.83828000512971035</v>
      </c>
      <c r="AE171" s="22">
        <f t="shared" si="141"/>
        <v>984.03174962161302</v>
      </c>
      <c r="AF171" s="22">
        <f t="shared" si="142"/>
        <v>93.073737324653393</v>
      </c>
      <c r="AG171" s="30">
        <f t="shared" si="143"/>
        <v>0.91358902312481061</v>
      </c>
    </row>
    <row r="172" spans="1:33" x14ac:dyDescent="0.2">
      <c r="A172" s="35">
        <f>P2_TaskV_Valuation!A172</f>
        <v>46154</v>
      </c>
      <c r="B172" s="36">
        <f>P2_TaskV_Valuation!B172</f>
        <v>1150.5</v>
      </c>
      <c r="C172" s="45">
        <f>P2_TaskV_Valuation!N172</f>
        <v>2.553876317723398E-2</v>
      </c>
      <c r="D172" s="37">
        <f>P2_TaskV_Valuation!C172</f>
        <v>0.59899999999999998</v>
      </c>
      <c r="E172" s="46">
        <f>P2_TaskV_Valuation!D172</f>
        <v>1.1013698630136985</v>
      </c>
      <c r="F172" s="47">
        <f>P2_TaskV_Valuation!O172</f>
        <v>1.9538763177233978E-2</v>
      </c>
      <c r="G172" s="47">
        <f>P2_TaskV_Valuation!P172</f>
        <v>0.62862755922658853</v>
      </c>
      <c r="H172" s="47">
        <f>P2_TaskV_Valuation!Q172</f>
        <v>-0.44554429007379021</v>
      </c>
      <c r="I172" s="36">
        <f>P2_TaskV_Valuation!AB172</f>
        <v>1058.1293501764378</v>
      </c>
      <c r="J172" s="22">
        <f t="shared" si="120"/>
        <v>1162.0050000000001</v>
      </c>
      <c r="K172" s="28">
        <f t="shared" si="121"/>
        <v>-0.51524071037933861</v>
      </c>
      <c r="L172" s="28">
        <f t="shared" si="122"/>
        <v>0.50978119159275603</v>
      </c>
      <c r="M172" s="28">
        <f t="shared" si="123"/>
        <v>-0.83771081430453309</v>
      </c>
      <c r="N172" s="28">
        <f t="shared" si="124"/>
        <v>0.1873110876675613</v>
      </c>
      <c r="O172" s="28">
        <f t="shared" si="125"/>
        <v>894.49758571322911</v>
      </c>
      <c r="P172" s="28">
        <f t="shared" si="126"/>
        <v>712.04791873074532</v>
      </c>
      <c r="Q172" s="28">
        <f t="shared" si="127"/>
        <v>-55.754656339593254</v>
      </c>
      <c r="R172" s="28">
        <f t="shared" si="128"/>
        <v>108.80923841959543</v>
      </c>
      <c r="S172" s="22">
        <f t="shared" si="129"/>
        <v>1067.9167355657491</v>
      </c>
      <c r="T172" s="22">
        <f t="shared" si="130"/>
        <v>1138.9949999999999</v>
      </c>
      <c r="U172" s="28">
        <f t="shared" si="131"/>
        <v>-0.54705711170173199</v>
      </c>
      <c r="V172" s="28">
        <f t="shared" si="132"/>
        <v>0.47796479027036254</v>
      </c>
      <c r="W172" s="28">
        <f t="shared" si="133"/>
        <v>-0.80589441298214015</v>
      </c>
      <c r="X172" s="28">
        <f t="shared" si="134"/>
        <v>0.2191274889899546</v>
      </c>
      <c r="Y172" s="28">
        <f t="shared" si="135"/>
        <v>910.55143980688308</v>
      </c>
      <c r="Z172" s="28">
        <f t="shared" si="136"/>
        <v>730.76710409966199</v>
      </c>
      <c r="AA172" s="28">
        <f t="shared" si="137"/>
        <v>-58.979413192057137</v>
      </c>
      <c r="AB172" s="28">
        <f t="shared" si="138"/>
        <v>106.51630584068653</v>
      </c>
      <c r="AC172" s="22">
        <f t="shared" si="139"/>
        <v>1048.2657259232774</v>
      </c>
      <c r="AD172" s="43">
        <f t="shared" si="140"/>
        <v>0.85402041036383147</v>
      </c>
      <c r="AE172" s="22">
        <f t="shared" si="141"/>
        <v>982.55048212358815</v>
      </c>
      <c r="AF172" s="22">
        <f t="shared" si="142"/>
        <v>75.578868052849657</v>
      </c>
      <c r="AG172" s="30">
        <f t="shared" si="143"/>
        <v>0.928573129513658</v>
      </c>
    </row>
    <row r="173" spans="1:33" x14ac:dyDescent="0.2">
      <c r="A173" s="35">
        <f>P2_TaskV_Valuation!A173</f>
        <v>46155</v>
      </c>
      <c r="B173" s="36">
        <f>P2_TaskV_Valuation!B173</f>
        <v>1121.5999999999999</v>
      </c>
      <c r="C173" s="45">
        <f>P2_TaskV_Valuation!N173</f>
        <v>2.5474666832087753E-2</v>
      </c>
      <c r="D173" s="37">
        <f>P2_TaskV_Valuation!C173</f>
        <v>0.58899999999999997</v>
      </c>
      <c r="E173" s="46">
        <f>P2_TaskV_Valuation!D173</f>
        <v>1.0986301369863014</v>
      </c>
      <c r="F173" s="47">
        <f>P2_TaskV_Valuation!O173</f>
        <v>1.9474666832087754E-2</v>
      </c>
      <c r="G173" s="47">
        <f>P2_TaskV_Valuation!P173</f>
        <v>0.61736364142490985</v>
      </c>
      <c r="H173" s="47">
        <f>P2_TaskV_Valuation!Q173</f>
        <v>-0.4438642606469837</v>
      </c>
      <c r="I173" s="36">
        <f>P2_TaskV_Valuation!AB173</f>
        <v>1038.0832539422643</v>
      </c>
      <c r="J173" s="22">
        <f t="shared" si="120"/>
        <v>1132.816</v>
      </c>
      <c r="K173" s="28">
        <f t="shared" si="121"/>
        <v>-0.57741693828876928</v>
      </c>
      <c r="L173" s="28">
        <f t="shared" si="122"/>
        <v>0.46630668447479551</v>
      </c>
      <c r="M173" s="28">
        <f t="shared" si="123"/>
        <v>-0.82335433689133486</v>
      </c>
      <c r="N173" s="28">
        <f t="shared" si="124"/>
        <v>0.22036928587222987</v>
      </c>
      <c r="O173" s="28">
        <f t="shared" si="125"/>
        <v>910.82602475059241</v>
      </c>
      <c r="P173" s="28">
        <f t="shared" si="126"/>
        <v>728.47629129995642</v>
      </c>
      <c r="Q173" s="28">
        <f t="shared" si="127"/>
        <v>-56.499686414540093</v>
      </c>
      <c r="R173" s="28">
        <f t="shared" si="128"/>
        <v>111.84041362924017</v>
      </c>
      <c r="S173" s="22">
        <f t="shared" si="129"/>
        <v>1047.985164163842</v>
      </c>
      <c r="T173" s="22">
        <f t="shared" si="130"/>
        <v>1110.3839999999998</v>
      </c>
      <c r="U173" s="28">
        <f t="shared" si="131"/>
        <v>-0.60981383594297378</v>
      </c>
      <c r="V173" s="28">
        <f t="shared" si="132"/>
        <v>0.43390978682059106</v>
      </c>
      <c r="W173" s="28">
        <f t="shared" si="133"/>
        <v>-0.79095743923713047</v>
      </c>
      <c r="X173" s="28">
        <f t="shared" si="134"/>
        <v>0.25276618352643426</v>
      </c>
      <c r="Y173" s="28">
        <f t="shared" si="135"/>
        <v>926.95092049564948</v>
      </c>
      <c r="Z173" s="28">
        <f t="shared" si="136"/>
        <v>747.52090843221129</v>
      </c>
      <c r="AA173" s="28">
        <f t="shared" si="137"/>
        <v>-59.812065790723324</v>
      </c>
      <c r="AB173" s="28">
        <f t="shared" si="138"/>
        <v>109.35852664844265</v>
      </c>
      <c r="AC173" s="22">
        <f t="shared" si="139"/>
        <v>1028.1100546362013</v>
      </c>
      <c r="AD173" s="43">
        <f t="shared" si="140"/>
        <v>0.88601593828640735</v>
      </c>
      <c r="AE173" s="22">
        <f t="shared" si="141"/>
        <v>993.75547638203443</v>
      </c>
      <c r="AF173" s="22">
        <f t="shared" si="142"/>
        <v>44.327777560229833</v>
      </c>
      <c r="AG173" s="30">
        <f t="shared" si="143"/>
        <v>0.9572984369106341</v>
      </c>
    </row>
    <row r="174" spans="1:33" x14ac:dyDescent="0.2">
      <c r="A174" s="35">
        <f>P2_TaskV_Valuation!A174</f>
        <v>46156</v>
      </c>
      <c r="B174" s="36">
        <f>P2_TaskV_Valuation!B174</f>
        <v>1143.2</v>
      </c>
      <c r="C174" s="45">
        <f>P2_TaskV_Valuation!N174</f>
        <v>2.5123564338071624E-2</v>
      </c>
      <c r="D174" s="37">
        <f>P2_TaskV_Valuation!C174</f>
        <v>0.57599999999999996</v>
      </c>
      <c r="E174" s="46">
        <f>P2_TaskV_Valuation!D174</f>
        <v>1.095890410958904</v>
      </c>
      <c r="F174" s="47">
        <f>P2_TaskV_Valuation!O174</f>
        <v>1.9123564338071622E-2</v>
      </c>
      <c r="G174" s="47">
        <f>P2_TaskV_Valuation!P174</f>
        <v>0.60298435882392609</v>
      </c>
      <c r="H174" s="47">
        <f>P2_TaskV_Valuation!Q174</f>
        <v>-0.44236001296636401</v>
      </c>
      <c r="I174" s="36">
        <f>P2_TaskV_Valuation!AB174</f>
        <v>1063.7933306105444</v>
      </c>
      <c r="J174" s="22">
        <f t="shared" si="120"/>
        <v>1154.6320000000001</v>
      </c>
      <c r="K174" s="28">
        <f t="shared" si="121"/>
        <v>-0.57482934296123267</v>
      </c>
      <c r="L174" s="28">
        <f t="shared" si="122"/>
        <v>0.49378380920623199</v>
      </c>
      <c r="M174" s="28">
        <f t="shared" si="123"/>
        <v>-0.8899005813015779</v>
      </c>
      <c r="N174" s="28">
        <f t="shared" si="124"/>
        <v>0.17871257086588688</v>
      </c>
      <c r="O174" s="28">
        <f t="shared" si="125"/>
        <v>890.51621806634057</v>
      </c>
      <c r="P174" s="28">
        <f t="shared" si="126"/>
        <v>701.01118489773694</v>
      </c>
      <c r="Q174" s="28">
        <f t="shared" si="127"/>
        <v>-49.348017316308415</v>
      </c>
      <c r="R174" s="28">
        <f t="shared" si="128"/>
        <v>121.34821968515359</v>
      </c>
      <c r="S174" s="22">
        <f t="shared" si="129"/>
        <v>1073.9783702962827</v>
      </c>
      <c r="T174" s="22">
        <f t="shared" si="130"/>
        <v>1131.768</v>
      </c>
      <c r="U174" s="28">
        <f t="shared" si="131"/>
        <v>-0.60799880484525115</v>
      </c>
      <c r="V174" s="28">
        <f t="shared" si="132"/>
        <v>0.46061434732221362</v>
      </c>
      <c r="W174" s="28">
        <f t="shared" si="133"/>
        <v>-0.85673111941755931</v>
      </c>
      <c r="X174" s="28">
        <f t="shared" si="134"/>
        <v>0.21188203274990541</v>
      </c>
      <c r="Y174" s="28">
        <f t="shared" si="135"/>
        <v>906.93516506225239</v>
      </c>
      <c r="Z174" s="28">
        <f t="shared" si="136"/>
        <v>720.33520511989821</v>
      </c>
      <c r="AA174" s="28">
        <f t="shared" si="137"/>
        <v>-52.399344254780061</v>
      </c>
      <c r="AB174" s="28">
        <f t="shared" si="138"/>
        <v>119.42103593000877</v>
      </c>
      <c r="AC174" s="22">
        <f t="shared" si="139"/>
        <v>1053.5302068907945</v>
      </c>
      <c r="AD174" s="43">
        <f t="shared" si="140"/>
        <v>0.89433884733590929</v>
      </c>
      <c r="AE174" s="22">
        <f t="shared" si="141"/>
        <v>1022.4081702744115</v>
      </c>
      <c r="AF174" s="22">
        <f t="shared" si="142"/>
        <v>41.385160336132913</v>
      </c>
      <c r="AG174" s="30">
        <f t="shared" si="143"/>
        <v>0.96109661609517638</v>
      </c>
    </row>
    <row r="175" spans="1:33" x14ac:dyDescent="0.2">
      <c r="A175" s="35">
        <f>P2_TaskV_Valuation!A175</f>
        <v>46157</v>
      </c>
      <c r="B175" s="36">
        <f>P2_TaskV_Valuation!B175</f>
        <v>1120</v>
      </c>
      <c r="C175" s="45">
        <f>P2_TaskV_Valuation!N175</f>
        <v>2.5677832586097835E-2</v>
      </c>
      <c r="D175" s="37">
        <f>P2_TaskV_Valuation!C175</f>
        <v>0.56399999999999995</v>
      </c>
      <c r="E175" s="46">
        <f>P2_TaskV_Valuation!D175</f>
        <v>1.0931506849315069</v>
      </c>
      <c r="F175" s="47">
        <f>P2_TaskV_Valuation!O175</f>
        <v>1.9677832586097836E-2</v>
      </c>
      <c r="G175" s="47">
        <f>P2_TaskV_Valuation!P175</f>
        <v>0.58968369510609042</v>
      </c>
      <c r="H175" s="47">
        <f>P2_TaskV_Valuation!Q175</f>
        <v>-0.43813869842406744</v>
      </c>
      <c r="I175" s="36">
        <f>P2_TaskV_Valuation!AB175</f>
        <v>1048.4158075896419</v>
      </c>
      <c r="J175" s="22">
        <f t="shared" si="120"/>
        <v>1131.2</v>
      </c>
      <c r="K175" s="28">
        <f t="shared" si="121"/>
        <v>-0.63507589102654749</v>
      </c>
      <c r="L175" s="28">
        <f t="shared" si="122"/>
        <v>0.45764046138096937</v>
      </c>
      <c r="M175" s="28">
        <f t="shared" si="123"/>
        <v>-0.88771591688765916</v>
      </c>
      <c r="N175" s="28">
        <f t="shared" si="124"/>
        <v>0.20500043551985747</v>
      </c>
      <c r="O175" s="28">
        <f t="shared" si="125"/>
        <v>901.49004240953127</v>
      </c>
      <c r="P175" s="28">
        <f t="shared" si="126"/>
        <v>710.79343629731829</v>
      </c>
      <c r="Q175" s="28">
        <f t="shared" si="127"/>
        <v>-48.776603950898874</v>
      </c>
      <c r="R175" s="28">
        <f t="shared" si="128"/>
        <v>126.2993451039639</v>
      </c>
      <c r="S175" s="22">
        <f t="shared" si="129"/>
        <v>1058.7717237075242</v>
      </c>
      <c r="T175" s="22">
        <f t="shared" si="130"/>
        <v>1108.8</v>
      </c>
      <c r="U175" s="28">
        <f t="shared" si="131"/>
        <v>-0.66899350969679294</v>
      </c>
      <c r="V175" s="28">
        <f t="shared" si="132"/>
        <v>0.42372284271072402</v>
      </c>
      <c r="W175" s="28">
        <f t="shared" si="133"/>
        <v>-0.85379829821741393</v>
      </c>
      <c r="X175" s="28">
        <f t="shared" si="134"/>
        <v>0.2389180541901029</v>
      </c>
      <c r="Y175" s="28">
        <f t="shared" si="135"/>
        <v>918.01959369077713</v>
      </c>
      <c r="Z175" s="28">
        <f t="shared" si="136"/>
        <v>730.49088012760922</v>
      </c>
      <c r="AA175" s="28">
        <f t="shared" si="137"/>
        <v>-51.867910371846421</v>
      </c>
      <c r="AB175" s="28">
        <f t="shared" si="138"/>
        <v>124.2965288820352</v>
      </c>
      <c r="AC175" s="22">
        <f t="shared" si="139"/>
        <v>1037.9857896782144</v>
      </c>
      <c r="AD175" s="43">
        <f t="shared" si="140"/>
        <v>0.92794348345133149</v>
      </c>
      <c r="AE175" s="22">
        <f t="shared" si="141"/>
        <v>1039.2967014654912</v>
      </c>
      <c r="AF175" s="22">
        <f t="shared" si="142"/>
        <v>9.1191061241506759</v>
      </c>
      <c r="AG175" s="30">
        <f t="shared" si="143"/>
        <v>0.99130201389740968</v>
      </c>
    </row>
    <row r="176" spans="1:33" x14ac:dyDescent="0.2">
      <c r="A176" s="35">
        <f>P2_TaskV_Valuation!A176</f>
        <v>46160</v>
      </c>
      <c r="B176" s="36">
        <f>P2_TaskV_Valuation!B176</f>
        <v>1172</v>
      </c>
      <c r="C176" s="45">
        <f>P2_TaskV_Valuation!N176</f>
        <v>2.5353030278603292E-2</v>
      </c>
      <c r="D176" s="37">
        <f>P2_TaskV_Valuation!C176</f>
        <v>0.57499999999999996</v>
      </c>
      <c r="E176" s="46">
        <f>P2_TaskV_Valuation!D176</f>
        <v>1.0849315068493151</v>
      </c>
      <c r="F176" s="47">
        <f>P2_TaskV_Valuation!O176</f>
        <v>1.9353030278603293E-2</v>
      </c>
      <c r="G176" s="47">
        <f>P2_TaskV_Valuation!P176</f>
        <v>0.5989202613470801</v>
      </c>
      <c r="H176" s="47">
        <f>P2_TaskV_Valuation!Q176</f>
        <v>-0.4414653148473246</v>
      </c>
      <c r="I176" s="36">
        <f>P2_TaskV_Valuation!AB176</f>
        <v>1091.3944876397184</v>
      </c>
      <c r="J176" s="22">
        <f t="shared" si="120"/>
        <v>1183.72</v>
      </c>
      <c r="K176" s="28">
        <f t="shared" si="121"/>
        <v>-0.54120010198790647</v>
      </c>
      <c r="L176" s="28">
        <f t="shared" si="122"/>
        <v>0.53466434604602298</v>
      </c>
      <c r="M176" s="28">
        <f t="shared" si="123"/>
        <v>-0.94149331487385401</v>
      </c>
      <c r="N176" s="28">
        <f t="shared" si="124"/>
        <v>0.13437113316007571</v>
      </c>
      <c r="O176" s="28">
        <f t="shared" si="125"/>
        <v>868.33222833925959</v>
      </c>
      <c r="P176" s="28">
        <f t="shared" si="126"/>
        <v>674.08574434745151</v>
      </c>
      <c r="Q176" s="28">
        <f t="shared" si="127"/>
        <v>-44.669686032322943</v>
      </c>
      <c r="R176" s="28">
        <f t="shared" si="128"/>
        <v>125.28482616047074</v>
      </c>
      <c r="S176" s="22">
        <f t="shared" si="129"/>
        <v>1101.6968477704477</v>
      </c>
      <c r="T176" s="22">
        <f t="shared" si="130"/>
        <v>1160.28</v>
      </c>
      <c r="U176" s="28">
        <f t="shared" si="131"/>
        <v>-0.5745946421253274</v>
      </c>
      <c r="V176" s="28">
        <f t="shared" si="132"/>
        <v>0.50126980590860248</v>
      </c>
      <c r="W176" s="28">
        <f t="shared" si="133"/>
        <v>-0.90809877473643352</v>
      </c>
      <c r="X176" s="28">
        <f t="shared" si="134"/>
        <v>0.16776567329749645</v>
      </c>
      <c r="Y176" s="28">
        <f t="shared" si="135"/>
        <v>884.90192412097713</v>
      </c>
      <c r="Z176" s="28">
        <f t="shared" si="136"/>
        <v>693.3961774326217</v>
      </c>
      <c r="AA176" s="28">
        <f t="shared" si="137"/>
        <v>-47.513065789680752</v>
      </c>
      <c r="AB176" s="28">
        <f t="shared" si="138"/>
        <v>123.82144015572771</v>
      </c>
      <c r="AC176" s="22">
        <f t="shared" si="139"/>
        <v>1081.0064209326629</v>
      </c>
      <c r="AD176" s="43">
        <f t="shared" si="140"/>
        <v>0.8826973906904777</v>
      </c>
      <c r="AE176" s="22">
        <f t="shared" si="141"/>
        <v>1034.5213418892399</v>
      </c>
      <c r="AF176" s="22">
        <f t="shared" si="142"/>
        <v>56.873145750478443</v>
      </c>
      <c r="AG176" s="30">
        <f t="shared" si="143"/>
        <v>0.94788946948644204</v>
      </c>
    </row>
    <row r="177" spans="1:33" x14ac:dyDescent="0.2">
      <c r="A177" s="35">
        <f>P2_TaskV_Valuation!A177</f>
        <v>46161</v>
      </c>
      <c r="B177" s="36">
        <f>P2_TaskV_Valuation!B177</f>
        <v>1207</v>
      </c>
      <c r="C177" s="45">
        <f>P2_TaskV_Valuation!N177</f>
        <v>2.5592175804218523E-2</v>
      </c>
      <c r="D177" s="37">
        <f>P2_TaskV_Valuation!C177</f>
        <v>0.56899999999999995</v>
      </c>
      <c r="E177" s="46">
        <f>P2_TaskV_Valuation!D177</f>
        <v>1.0821917808219179</v>
      </c>
      <c r="F177" s="47">
        <f>P2_TaskV_Valuation!O177</f>
        <v>1.9592175804218522E-2</v>
      </c>
      <c r="G177" s="47">
        <f>P2_TaskV_Valuation!P177</f>
        <v>0.5919218640586652</v>
      </c>
      <c r="H177" s="47">
        <f>P2_TaskV_Valuation!Q177</f>
        <v>-0.4394856829444605</v>
      </c>
      <c r="I177" s="36">
        <f>P2_TaskV_Valuation!AB177</f>
        <v>1125.7275226014326</v>
      </c>
      <c r="J177" s="22">
        <f t="shared" si="120"/>
        <v>1219.07</v>
      </c>
      <c r="K177" s="28">
        <f t="shared" si="121"/>
        <v>-0.50457786327469722</v>
      </c>
      <c r="L177" s="28">
        <f t="shared" si="122"/>
        <v>0.58400672113702401</v>
      </c>
      <c r="M177" s="28">
        <f t="shared" si="123"/>
        <v>-1.0090299467825758</v>
      </c>
      <c r="N177" s="28">
        <f t="shared" si="124"/>
        <v>7.9554637629145386E-2</v>
      </c>
      <c r="O177" s="28">
        <f t="shared" si="125"/>
        <v>840.52657859461931</v>
      </c>
      <c r="P177" s="28">
        <f t="shared" si="126"/>
        <v>640.17166263988076</v>
      </c>
      <c r="Q177" s="28">
        <f t="shared" si="127"/>
        <v>-38.997715586636318</v>
      </c>
      <c r="R177" s="28">
        <f t="shared" si="128"/>
        <v>130.01564613946368</v>
      </c>
      <c r="S177" s="22">
        <f t="shared" si="129"/>
        <v>1136.1837070782735</v>
      </c>
      <c r="T177" s="22">
        <f t="shared" si="130"/>
        <v>1194.93</v>
      </c>
      <c r="U177" s="28">
        <f t="shared" si="131"/>
        <v>-0.53836723298902001</v>
      </c>
      <c r="V177" s="28">
        <f t="shared" si="132"/>
        <v>0.5502173514227009</v>
      </c>
      <c r="W177" s="28">
        <f t="shared" si="133"/>
        <v>-0.97524057706825285</v>
      </c>
      <c r="X177" s="28">
        <f t="shared" si="134"/>
        <v>0.11334400734346814</v>
      </c>
      <c r="Y177" s="28">
        <f t="shared" si="135"/>
        <v>857.29010031684641</v>
      </c>
      <c r="Z177" s="28">
        <f t="shared" si="136"/>
        <v>659.46622632951278</v>
      </c>
      <c r="AA177" s="28">
        <f t="shared" si="137"/>
        <v>-41.58402789416796</v>
      </c>
      <c r="AB177" s="28">
        <f t="shared" si="138"/>
        <v>129.14279388622083</v>
      </c>
      <c r="AC177" s="22">
        <f t="shared" si="139"/>
        <v>1115.1756833343527</v>
      </c>
      <c r="AD177" s="43">
        <f t="shared" si="140"/>
        <v>0.87025781872082975</v>
      </c>
      <c r="AE177" s="22">
        <f t="shared" si="141"/>
        <v>1050.4011871960415</v>
      </c>
      <c r="AF177" s="22">
        <f t="shared" si="142"/>
        <v>75.326335405391092</v>
      </c>
      <c r="AG177" s="30">
        <f t="shared" si="143"/>
        <v>0.93308652947267368</v>
      </c>
    </row>
    <row r="178" spans="1:33" x14ac:dyDescent="0.2">
      <c r="A178" s="35">
        <f>P2_TaskV_Valuation!A178</f>
        <v>46162</v>
      </c>
      <c r="B178" s="36">
        <f>P2_TaskV_Valuation!B178</f>
        <v>1233.5999999999999</v>
      </c>
      <c r="C178" s="45">
        <f>P2_TaskV_Valuation!N178</f>
        <v>2.5557101036651188E-2</v>
      </c>
      <c r="D178" s="37">
        <f>P2_TaskV_Valuation!C178</f>
        <v>0.55800000000000005</v>
      </c>
      <c r="E178" s="46">
        <f>P2_TaskV_Valuation!D178</f>
        <v>1.0794520547945206</v>
      </c>
      <c r="F178" s="47">
        <f>P2_TaskV_Valuation!O178</f>
        <v>1.9557101036651189E-2</v>
      </c>
      <c r="G178" s="47">
        <f>P2_TaskV_Valuation!P178</f>
        <v>0.57974348602553627</v>
      </c>
      <c r="H178" s="47">
        <f>P2_TaskV_Valuation!Q178</f>
        <v>-0.4371889459389936</v>
      </c>
      <c r="I178" s="36">
        <f>P2_TaskV_Valuation!AB178</f>
        <v>1155.9178856762369</v>
      </c>
      <c r="J178" s="22">
        <f t="shared" si="120"/>
        <v>1245.9359999999999</v>
      </c>
      <c r="K178" s="28">
        <f t="shared" si="121"/>
        <v>-0.49004072496465739</v>
      </c>
      <c r="L178" s="28">
        <f t="shared" si="122"/>
        <v>0.62141120493616597</v>
      </c>
      <c r="M178" s="28">
        <f t="shared" si="123"/>
        <v>-1.0802910499269205</v>
      </c>
      <c r="N178" s="28">
        <f t="shared" si="124"/>
        <v>3.1160879973902766E-2</v>
      </c>
      <c r="O178" s="28">
        <f t="shared" si="125"/>
        <v>817.00464783302607</v>
      </c>
      <c r="P178" s="28">
        <f t="shared" si="126"/>
        <v>609.73637447115186</v>
      </c>
      <c r="Q178" s="28">
        <f t="shared" si="127"/>
        <v>-33.468402632498169</v>
      </c>
      <c r="R178" s="28">
        <f t="shared" si="128"/>
        <v>135.77682852444582</v>
      </c>
      <c r="S178" s="22">
        <f t="shared" si="129"/>
        <v>1166.5971923924239</v>
      </c>
      <c r="T178" s="22">
        <f t="shared" si="130"/>
        <v>1221.2639999999999</v>
      </c>
      <c r="U178" s="28">
        <f t="shared" si="131"/>
        <v>-0.52453989086953934</v>
      </c>
      <c r="V178" s="28">
        <f t="shared" si="132"/>
        <v>0.58691203903128408</v>
      </c>
      <c r="W178" s="28">
        <f t="shared" si="133"/>
        <v>-1.0457918840220388</v>
      </c>
      <c r="X178" s="28">
        <f t="shared" si="134"/>
        <v>6.5660045878784712E-2</v>
      </c>
      <c r="Y178" s="28">
        <f t="shared" si="135"/>
        <v>834.01636569128755</v>
      </c>
      <c r="Z178" s="28">
        <f t="shared" si="136"/>
        <v>629.13970668699244</v>
      </c>
      <c r="AA178" s="28">
        <f t="shared" si="137"/>
        <v>-35.80509625725692</v>
      </c>
      <c r="AB178" s="28">
        <f t="shared" si="138"/>
        <v>135.5008085909908</v>
      </c>
      <c r="AC178" s="22">
        <f t="shared" si="139"/>
        <v>1145.1331864852796</v>
      </c>
      <c r="AD178" s="43">
        <f t="shared" si="140"/>
        <v>0.86997429908983404</v>
      </c>
      <c r="AE178" s="22">
        <f t="shared" si="141"/>
        <v>1073.2002953572191</v>
      </c>
      <c r="AF178" s="22">
        <f t="shared" si="142"/>
        <v>82.717590319017745</v>
      </c>
      <c r="AG178" s="30">
        <f t="shared" si="143"/>
        <v>0.92843990793461406</v>
      </c>
    </row>
    <row r="179" spans="1:33" x14ac:dyDescent="0.2">
      <c r="A179" s="35">
        <f>P2_TaskV_Valuation!A179</f>
        <v>46163</v>
      </c>
      <c r="B179" s="36">
        <f>P2_TaskV_Valuation!B179</f>
        <v>1209.4000000000001</v>
      </c>
      <c r="C179" s="45">
        <f>P2_TaskV_Valuation!N179</f>
        <v>2.5355611229359587E-2</v>
      </c>
      <c r="D179" s="37">
        <f>P2_TaskV_Valuation!C179</f>
        <v>0.54600000000000004</v>
      </c>
      <c r="E179" s="46">
        <f>P2_TaskV_Valuation!D179</f>
        <v>1.0767123287671232</v>
      </c>
      <c r="F179" s="47">
        <f>P2_TaskV_Valuation!O179</f>
        <v>1.9355611229359589E-2</v>
      </c>
      <c r="G179" s="47">
        <f>P2_TaskV_Valuation!P179</f>
        <v>0.56655553355583754</v>
      </c>
      <c r="H179" s="47">
        <f>P2_TaskV_Valuation!Q179</f>
        <v>-0.43507355784540386</v>
      </c>
      <c r="I179" s="36">
        <f>P2_TaskV_Valuation!AB179</f>
        <v>1142.1930700907772</v>
      </c>
      <c r="J179" s="22">
        <f t="shared" si="120"/>
        <v>1221.4940000000001</v>
      </c>
      <c r="K179" s="28">
        <f t="shared" si="121"/>
        <v>-0.55023638609688597</v>
      </c>
      <c r="L179" s="28">
        <f t="shared" si="122"/>
        <v>0.58708727985757969</v>
      </c>
      <c r="M179" s="28">
        <f t="shared" si="123"/>
        <v>-1.0842865421026489</v>
      </c>
      <c r="N179" s="28">
        <f t="shared" si="124"/>
        <v>5.3037123851816637E-2</v>
      </c>
      <c r="O179" s="28">
        <f t="shared" si="125"/>
        <v>828.79901549799581</v>
      </c>
      <c r="P179" s="28">
        <f t="shared" si="126"/>
        <v>619.04543231476487</v>
      </c>
      <c r="Q179" s="28">
        <f t="shared" si="127"/>
        <v>-32.677563366711283</v>
      </c>
      <c r="R179" s="28">
        <f t="shared" si="128"/>
        <v>141.30309945591898</v>
      </c>
      <c r="S179" s="22">
        <f t="shared" si="129"/>
        <v>1153.1110979931179</v>
      </c>
      <c r="T179" s="22">
        <f t="shared" si="130"/>
        <v>1197.306</v>
      </c>
      <c r="U179" s="28">
        <f t="shared" si="131"/>
        <v>-0.58553860365910904</v>
      </c>
      <c r="V179" s="28">
        <f t="shared" si="132"/>
        <v>0.5517850622953564</v>
      </c>
      <c r="W179" s="28">
        <f t="shared" si="133"/>
        <v>-1.0489843245404256</v>
      </c>
      <c r="X179" s="28">
        <f t="shared" si="134"/>
        <v>8.8339341414039929E-2</v>
      </c>
      <c r="Y179" s="28">
        <f t="shared" si="135"/>
        <v>845.98001005473554</v>
      </c>
      <c r="Z179" s="28">
        <f t="shared" si="136"/>
        <v>638.90140437906803</v>
      </c>
      <c r="AA179" s="28">
        <f t="shared" si="137"/>
        <v>-35.019876113723612</v>
      </c>
      <c r="AB179" s="28">
        <f t="shared" si="138"/>
        <v>141.04369702923577</v>
      </c>
      <c r="AC179" s="22">
        <f t="shared" si="139"/>
        <v>1131.1722156084857</v>
      </c>
      <c r="AD179" s="43">
        <f t="shared" si="140"/>
        <v>0.90701514737193145</v>
      </c>
      <c r="AE179" s="22">
        <f t="shared" si="141"/>
        <v>1096.944119231614</v>
      </c>
      <c r="AF179" s="22">
        <f t="shared" si="142"/>
        <v>45.248950859163187</v>
      </c>
      <c r="AG179" s="30">
        <f t="shared" si="143"/>
        <v>0.96038414866624344</v>
      </c>
    </row>
    <row r="180" spans="1:33" x14ac:dyDescent="0.2">
      <c r="A180" s="35">
        <f>P2_TaskV_Valuation!A180</f>
        <v>46164</v>
      </c>
      <c r="B180" s="36">
        <f>P2_TaskV_Valuation!B180</f>
        <v>1227.2</v>
      </c>
      <c r="C180" s="45">
        <f>P2_TaskV_Valuation!N180</f>
        <v>2.4577911952319419E-2</v>
      </c>
      <c r="D180" s="37">
        <f>P2_TaskV_Valuation!C180</f>
        <v>0.53300000000000003</v>
      </c>
      <c r="E180" s="46">
        <f>P2_TaskV_Valuation!D180</f>
        <v>1.0739726027397261</v>
      </c>
      <c r="F180" s="47">
        <f>P2_TaskV_Valuation!O180</f>
        <v>1.857791195231942E-2</v>
      </c>
      <c r="G180" s="47">
        <f>P2_TaskV_Valuation!P180</f>
        <v>0.55236202144945312</v>
      </c>
      <c r="H180" s="47">
        <f>P2_TaskV_Valuation!Q180</f>
        <v>-0.43460531047552203</v>
      </c>
      <c r="I180" s="36">
        <f>P2_TaskV_Valuation!AB180</f>
        <v>1166.9843582759875</v>
      </c>
      <c r="J180" s="22">
        <f t="shared" si="120"/>
        <v>1239.472</v>
      </c>
      <c r="K180" s="28">
        <f t="shared" si="121"/>
        <v>-0.5539077930272871</v>
      </c>
      <c r="L180" s="28">
        <f t="shared" si="122"/>
        <v>0.61264057809290007</v>
      </c>
      <c r="M180" s="28">
        <f t="shared" si="123"/>
        <v>-1.1545838419680339</v>
      </c>
      <c r="N180" s="28">
        <f t="shared" si="124"/>
        <v>1.1964529152153236E-2</v>
      </c>
      <c r="O180" s="28">
        <f t="shared" si="125"/>
        <v>811.69327851195987</v>
      </c>
      <c r="P180" s="28">
        <f t="shared" si="126"/>
        <v>594.55715830090116</v>
      </c>
      <c r="Q180" s="28">
        <f t="shared" si="127"/>
        <v>-27.907256858149822</v>
      </c>
      <c r="R180" s="28">
        <f t="shared" si="128"/>
        <v>147.24639805591983</v>
      </c>
      <c r="S180" s="22">
        <f t="shared" si="129"/>
        <v>1178.1878374560602</v>
      </c>
      <c r="T180" s="22">
        <f t="shared" si="130"/>
        <v>1214.9280000000001</v>
      </c>
      <c r="U180" s="28">
        <f t="shared" si="131"/>
        <v>-0.59011713749703487</v>
      </c>
      <c r="V180" s="28">
        <f t="shared" si="132"/>
        <v>0.57643123362315207</v>
      </c>
      <c r="W180" s="28">
        <f t="shared" si="133"/>
        <v>-1.1183744974982859</v>
      </c>
      <c r="X180" s="28">
        <f t="shared" si="134"/>
        <v>4.8173873621900787E-2</v>
      </c>
      <c r="Y180" s="28">
        <f t="shared" si="135"/>
        <v>829.1615194235668</v>
      </c>
      <c r="Z180" s="28">
        <f t="shared" si="136"/>
        <v>614.64249801189567</v>
      </c>
      <c r="AA180" s="28">
        <f t="shared" si="137"/>
        <v>-30.018648094578538</v>
      </c>
      <c r="AB180" s="28">
        <f t="shared" si="138"/>
        <v>147.56875464680911</v>
      </c>
      <c r="AC180" s="22">
        <f t="shared" si="139"/>
        <v>1155.6687499177478</v>
      </c>
      <c r="AD180" s="43">
        <f t="shared" si="140"/>
        <v>0.91749867740842184</v>
      </c>
      <c r="AE180" s="22">
        <f t="shared" si="141"/>
        <v>1125.9543769156153</v>
      </c>
      <c r="AF180" s="22">
        <f t="shared" si="142"/>
        <v>41.029981360372176</v>
      </c>
      <c r="AG180" s="30">
        <f t="shared" si="143"/>
        <v>0.96484101858829818</v>
      </c>
    </row>
    <row r="181" spans="1:33" x14ac:dyDescent="0.2">
      <c r="A181" s="35">
        <f>P2_TaskV_Valuation!A181</f>
        <v>46167</v>
      </c>
      <c r="B181" s="36">
        <f>P2_TaskV_Valuation!B181</f>
        <v>1243.5999999999999</v>
      </c>
      <c r="C181" s="45">
        <f>P2_TaskV_Valuation!N181</f>
        <v>2.3860476907999913E-2</v>
      </c>
      <c r="D181" s="37">
        <f>P2_TaskV_Valuation!C181</f>
        <v>0.51900000000000002</v>
      </c>
      <c r="E181" s="46">
        <f>P2_TaskV_Valuation!D181</f>
        <v>1.0657534246575342</v>
      </c>
      <c r="F181" s="47">
        <f>P2_TaskV_Valuation!O181</f>
        <v>1.7860476907999912E-2</v>
      </c>
      <c r="G181" s="47">
        <f>P2_TaskV_Valuation!P181</f>
        <v>0.53579138498036538</v>
      </c>
      <c r="H181" s="47">
        <f>P2_TaskV_Valuation!Q181</f>
        <v>-0.43369315933635566</v>
      </c>
      <c r="I181" s="36">
        <f>P2_TaskV_Valuation!AB181</f>
        <v>1192.7833210812294</v>
      </c>
      <c r="J181" s="22">
        <f t="shared" si="120"/>
        <v>1256.0359999999998</v>
      </c>
      <c r="K181" s="28">
        <f t="shared" si="121"/>
        <v>-0.56480076098106435</v>
      </c>
      <c r="L181" s="28">
        <f t="shared" si="122"/>
        <v>0.63782592256317783</v>
      </c>
      <c r="M181" s="28">
        <f t="shared" si="123"/>
        <v>-1.2336079531413624</v>
      </c>
      <c r="N181" s="28">
        <f t="shared" si="124"/>
        <v>-3.0981269597119776E-2</v>
      </c>
      <c r="O181" s="28">
        <f t="shared" si="125"/>
        <v>794.55184222414687</v>
      </c>
      <c r="P181" s="28">
        <f t="shared" si="126"/>
        <v>568.93497730085585</v>
      </c>
      <c r="Q181" s="28">
        <f t="shared" si="127"/>
        <v>-23.227297802702779</v>
      </c>
      <c r="R181" s="28">
        <f t="shared" si="128"/>
        <v>153.29414711736115</v>
      </c>
      <c r="S181" s="22">
        <f t="shared" si="129"/>
        <v>1204.3260147777914</v>
      </c>
      <c r="T181" s="22">
        <f t="shared" si="130"/>
        <v>1231.164</v>
      </c>
      <c r="U181" s="28">
        <f t="shared" si="131"/>
        <v>-0.6021299664654014</v>
      </c>
      <c r="V181" s="28">
        <f t="shared" si="132"/>
        <v>0.60049671707884134</v>
      </c>
      <c r="W181" s="28">
        <f t="shared" si="133"/>
        <v>-1.1962787476570256</v>
      </c>
      <c r="X181" s="28">
        <f t="shared" si="134"/>
        <v>6.3479358872167713E-3</v>
      </c>
      <c r="Y181" s="28">
        <f t="shared" si="135"/>
        <v>812.34992541317149</v>
      </c>
      <c r="Z181" s="28">
        <f t="shared" si="136"/>
        <v>589.29934317378093</v>
      </c>
      <c r="AA181" s="28">
        <f t="shared" si="137"/>
        <v>-25.097791906736305</v>
      </c>
      <c r="AB181" s="28">
        <f t="shared" si="138"/>
        <v>154.26780538358332</v>
      </c>
      <c r="AC181" s="22">
        <f t="shared" si="139"/>
        <v>1181.1174965346104</v>
      </c>
      <c r="AD181" s="43">
        <f t="shared" si="140"/>
        <v>0.93311829539968882</v>
      </c>
      <c r="AE181" s="22">
        <f t="shared" si="141"/>
        <v>1160.425912159053</v>
      </c>
      <c r="AF181" s="22">
        <f t="shared" si="142"/>
        <v>32.357408922176319</v>
      </c>
      <c r="AG181" s="30">
        <f t="shared" si="143"/>
        <v>0.97287234961263114</v>
      </c>
    </row>
    <row r="182" spans="1:33" x14ac:dyDescent="0.2">
      <c r="A182" s="35">
        <f>P2_TaskV_Valuation!A182</f>
        <v>46168</v>
      </c>
      <c r="B182" s="36">
        <f>P2_TaskV_Valuation!B182</f>
        <v>1237.2</v>
      </c>
      <c r="C182" s="45">
        <f>P2_TaskV_Valuation!N182</f>
        <v>2.4246810309881593E-2</v>
      </c>
      <c r="D182" s="37">
        <f>P2_TaskV_Valuation!C182</f>
        <v>0.504</v>
      </c>
      <c r="E182" s="46">
        <f>P2_TaskV_Valuation!D182</f>
        <v>1.0630136986301371</v>
      </c>
      <c r="F182" s="47">
        <f>P2_TaskV_Valuation!O182</f>
        <v>1.8246810309881595E-2</v>
      </c>
      <c r="G182" s="47">
        <f>P2_TaskV_Valuation!P182</f>
        <v>0.5196368805918542</v>
      </c>
      <c r="H182" s="47">
        <f>P2_TaskV_Valuation!Q182</f>
        <v>-0.4281666890672966</v>
      </c>
      <c r="I182" s="36">
        <f>P2_TaskV_Valuation!AB182</f>
        <v>1197.0602817215854</v>
      </c>
      <c r="J182" s="22">
        <f t="shared" si="120"/>
        <v>1249.5720000000001</v>
      </c>
      <c r="K182" s="28">
        <f t="shared" si="121"/>
        <v>-0.60799809737682065</v>
      </c>
      <c r="L182" s="28">
        <f t="shared" si="122"/>
        <v>0.63201592098270343</v>
      </c>
      <c r="M182" s="28">
        <f t="shared" si="123"/>
        <v>-1.2777385835190636</v>
      </c>
      <c r="N182" s="28">
        <f t="shared" si="124"/>
        <v>-3.772456515953998E-2</v>
      </c>
      <c r="O182" s="28">
        <f t="shared" si="125"/>
        <v>791.82912808415836</v>
      </c>
      <c r="P182" s="28">
        <f t="shared" si="126"/>
        <v>559.95172777497601</v>
      </c>
      <c r="Q182" s="28">
        <f t="shared" si="127"/>
        <v>-20.683903793988776</v>
      </c>
      <c r="R182" s="28">
        <f t="shared" si="128"/>
        <v>159.5201978059992</v>
      </c>
      <c r="S182" s="22">
        <f t="shared" si="129"/>
        <v>1208.9534512477926</v>
      </c>
      <c r="T182" s="22">
        <f t="shared" si="130"/>
        <v>1224.828</v>
      </c>
      <c r="U182" s="28">
        <f t="shared" si="131"/>
        <v>-0.64648779557508806</v>
      </c>
      <c r="V182" s="28">
        <f t="shared" si="132"/>
        <v>0.59352622278443601</v>
      </c>
      <c r="W182" s="28">
        <f t="shared" si="133"/>
        <v>-1.2392488853207966</v>
      </c>
      <c r="X182" s="28">
        <f t="shared" si="134"/>
        <v>7.6513303872749461E-4</v>
      </c>
      <c r="Y182" s="28">
        <f t="shared" si="135"/>
        <v>809.89336463850009</v>
      </c>
      <c r="Z182" s="28">
        <f t="shared" si="136"/>
        <v>580.74409840343742</v>
      </c>
      <c r="AA182" s="28">
        <f t="shared" si="137"/>
        <v>-22.43694432129368</v>
      </c>
      <c r="AB182" s="28">
        <f t="shared" si="138"/>
        <v>160.88926531951608</v>
      </c>
      <c r="AC182" s="22">
        <f t="shared" si="139"/>
        <v>1185.0389725785094</v>
      </c>
      <c r="AD182" s="43">
        <f t="shared" si="140"/>
        <v>0.96647585957335913</v>
      </c>
      <c r="AE182" s="22">
        <f t="shared" si="141"/>
        <v>1195.7239334641599</v>
      </c>
      <c r="AF182" s="22">
        <f t="shared" si="142"/>
        <v>1.3363482574254704</v>
      </c>
      <c r="AG182" s="30">
        <f t="shared" si="143"/>
        <v>0.99888364163623944</v>
      </c>
    </row>
    <row r="183" spans="1:33" x14ac:dyDescent="0.2">
      <c r="A183" s="35">
        <f>P2_TaskV_Valuation!A183</f>
        <v>46169</v>
      </c>
      <c r="B183" s="36">
        <f>P2_TaskV_Valuation!B183</f>
        <v>1232.8</v>
      </c>
      <c r="C183" s="45">
        <f>P2_TaskV_Valuation!N183</f>
        <v>2.4475827377094129E-2</v>
      </c>
      <c r="D183" s="37">
        <f>P2_TaskV_Valuation!C183</f>
        <v>0.48899999999999999</v>
      </c>
      <c r="E183" s="46">
        <f>P2_TaskV_Valuation!D183</f>
        <v>1.0602739726027397</v>
      </c>
      <c r="F183" s="47">
        <f>P2_TaskV_Valuation!O183</f>
        <v>1.8475827377094127E-2</v>
      </c>
      <c r="G183" s="47">
        <f>P2_TaskV_Valuation!P183</f>
        <v>0.50352137253818707</v>
      </c>
      <c r="H183" s="47">
        <f>P2_TaskV_Valuation!Q183</f>
        <v>-0.42273440067123291</v>
      </c>
      <c r="I183" s="36">
        <f>P2_TaskV_Valuation!AB183</f>
        <v>1203.2069528654483</v>
      </c>
      <c r="J183" s="22">
        <f t="shared" si="120"/>
        <v>1245.1279999999999</v>
      </c>
      <c r="K183" s="28">
        <f t="shared" si="121"/>
        <v>-0.65052356733191652</v>
      </c>
      <c r="L183" s="28">
        <f t="shared" si="122"/>
        <v>0.62917785456084585</v>
      </c>
      <c r="M183" s="28">
        <f t="shared" si="123"/>
        <v>-1.3275481426674083</v>
      </c>
      <c r="N183" s="28">
        <f t="shared" si="124"/>
        <v>-4.7846720774645857E-2</v>
      </c>
      <c r="O183" s="28">
        <f t="shared" si="125"/>
        <v>788.2233999761927</v>
      </c>
      <c r="P183" s="28">
        <f t="shared" si="126"/>
        <v>549.55643850904244</v>
      </c>
      <c r="Q183" s="28">
        <f t="shared" si="127"/>
        <v>-18.153814194723239</v>
      </c>
      <c r="R183" s="28">
        <f t="shared" si="128"/>
        <v>165.57975429608189</v>
      </c>
      <c r="S183" s="22">
        <f t="shared" si="129"/>
        <v>1215.4754981825592</v>
      </c>
      <c r="T183" s="22">
        <f t="shared" si="130"/>
        <v>1220.472</v>
      </c>
      <c r="U183" s="28">
        <f t="shared" si="131"/>
        <v>-0.69024515175215417</v>
      </c>
      <c r="V183" s="28">
        <f t="shared" si="132"/>
        <v>0.58945627014060809</v>
      </c>
      <c r="W183" s="28">
        <f t="shared" si="133"/>
        <v>-1.2878265582471706</v>
      </c>
      <c r="X183" s="28">
        <f t="shared" si="134"/>
        <v>-8.1251363544082023E-3</v>
      </c>
      <c r="Y183" s="28">
        <f t="shared" si="135"/>
        <v>806.56526659117048</v>
      </c>
      <c r="Z183" s="28">
        <f t="shared" si="136"/>
        <v>570.78530933256275</v>
      </c>
      <c r="AA183" s="28">
        <f t="shared" si="137"/>
        <v>-19.777437887447419</v>
      </c>
      <c r="AB183" s="28">
        <f t="shared" si="138"/>
        <v>167.39870331704765</v>
      </c>
      <c r="AC183" s="22">
        <f t="shared" si="139"/>
        <v>1190.804054645349</v>
      </c>
      <c r="AD183" s="43">
        <f t="shared" si="140"/>
        <v>1.0006263602048298</v>
      </c>
      <c r="AE183" s="22">
        <f t="shared" si="141"/>
        <v>1233.572176860514</v>
      </c>
      <c r="AF183" s="22">
        <f t="shared" si="142"/>
        <v>-30.365223995065662</v>
      </c>
      <c r="AG183" s="30">
        <f t="shared" si="143"/>
        <v>1.0252369086820439</v>
      </c>
    </row>
    <row r="184" spans="1:33" x14ac:dyDescent="0.2">
      <c r="A184" s="35">
        <f>P2_TaskV_Valuation!A184</f>
        <v>46170</v>
      </c>
      <c r="B184" s="36">
        <f>P2_TaskV_Valuation!B184</f>
        <v>1284</v>
      </c>
      <c r="C184" s="45">
        <f>P2_TaskV_Valuation!N184</f>
        <v>2.4357615793937786E-2</v>
      </c>
      <c r="D184" s="37">
        <f>P2_TaskV_Valuation!C184</f>
        <v>0.499</v>
      </c>
      <c r="E184" s="46">
        <f>P2_TaskV_Valuation!D184</f>
        <v>1.0575342465753426</v>
      </c>
      <c r="F184" s="47">
        <f>P2_TaskV_Valuation!O184</f>
        <v>1.8357615793937784E-2</v>
      </c>
      <c r="G184" s="47">
        <f>P2_TaskV_Valuation!P184</f>
        <v>0.51315405574886275</v>
      </c>
      <c r="H184" s="47">
        <f>P2_TaskV_Valuation!Q184</f>
        <v>-0.42627493145032436</v>
      </c>
      <c r="I184" s="36">
        <f>P2_TaskV_Valuation!AB184</f>
        <v>1246.1543154737215</v>
      </c>
      <c r="J184" s="22">
        <f t="shared" si="120"/>
        <v>1296.8399999999999</v>
      </c>
      <c r="K184" s="28">
        <f t="shared" si="121"/>
        <v>-0.54981402061405804</v>
      </c>
      <c r="L184" s="28">
        <f t="shared" si="122"/>
        <v>0.70586545647821897</v>
      </c>
      <c r="M184" s="28">
        <f t="shared" si="123"/>
        <v>-1.3727262419483759</v>
      </c>
      <c r="N184" s="28">
        <f t="shared" si="124"/>
        <v>-0.1170467648560985</v>
      </c>
      <c r="O184" s="28">
        <f t="shared" si="125"/>
        <v>755.30619962541721</v>
      </c>
      <c r="P184" s="28">
        <f t="shared" si="126"/>
        <v>516.19291878144031</v>
      </c>
      <c r="Q184" s="28">
        <f t="shared" si="127"/>
        <v>-16.681762604989842</v>
      </c>
      <c r="R184" s="28">
        <f t="shared" si="128"/>
        <v>158.14776943998936</v>
      </c>
      <c r="S184" s="22">
        <f t="shared" si="129"/>
        <v>1258.117389419564</v>
      </c>
      <c r="T184" s="22">
        <f t="shared" si="130"/>
        <v>1271.1600000000001</v>
      </c>
      <c r="U184" s="28">
        <f t="shared" si="131"/>
        <v>-0.58878997039483449</v>
      </c>
      <c r="V184" s="28">
        <f t="shared" si="132"/>
        <v>0.66688950669744296</v>
      </c>
      <c r="W184" s="28">
        <f t="shared" si="133"/>
        <v>-1.3337502921675992</v>
      </c>
      <c r="X184" s="28">
        <f t="shared" si="134"/>
        <v>-7.8070815075322098E-2</v>
      </c>
      <c r="Y184" s="28">
        <f t="shared" si="135"/>
        <v>773.56121806812337</v>
      </c>
      <c r="Z184" s="28">
        <f t="shared" si="136"/>
        <v>536.65693601867918</v>
      </c>
      <c r="AA184" s="28">
        <f t="shared" si="137"/>
        <v>-18.167605155206715</v>
      </c>
      <c r="AB184" s="28">
        <f t="shared" si="138"/>
        <v>160.27144653093455</v>
      </c>
      <c r="AC184" s="22">
        <f t="shared" si="139"/>
        <v>1234.0438525411632</v>
      </c>
      <c r="AD184" s="43">
        <f t="shared" si="140"/>
        <v>0.93744302485984321</v>
      </c>
      <c r="AE184" s="22">
        <f t="shared" si="141"/>
        <v>1203.6768439200387</v>
      </c>
      <c r="AF184" s="22">
        <f t="shared" si="142"/>
        <v>42.47747155368279</v>
      </c>
      <c r="AG184" s="30">
        <f t="shared" si="143"/>
        <v>0.96591315294885038</v>
      </c>
    </row>
    <row r="185" spans="1:33" x14ac:dyDescent="0.2">
      <c r="A185" s="35">
        <f>P2_TaskV_Valuation!A185</f>
        <v>46171</v>
      </c>
      <c r="B185" s="36">
        <f>P2_TaskV_Valuation!B185</f>
        <v>1293.4000000000001</v>
      </c>
      <c r="C185" s="45">
        <f>P2_TaskV_Valuation!N185</f>
        <v>2.4230774105961986E-2</v>
      </c>
      <c r="D185" s="37">
        <f>P2_TaskV_Valuation!C185</f>
        <v>0.48499999999999999</v>
      </c>
      <c r="E185" s="46">
        <f>P2_TaskV_Valuation!D185</f>
        <v>1.0547945205479452</v>
      </c>
      <c r="F185" s="47">
        <f>P2_TaskV_Valuation!O185</f>
        <v>1.8230774105961987E-2</v>
      </c>
      <c r="G185" s="47">
        <f>P2_TaskV_Valuation!P185</f>
        <v>0.49811047077519904</v>
      </c>
      <c r="H185" s="47">
        <f>P2_TaskV_Valuation!Q185</f>
        <v>-0.42249644337990444</v>
      </c>
      <c r="I185" s="36">
        <f>P2_TaskV_Valuation!AB185</f>
        <v>1266.5118942801541</v>
      </c>
      <c r="J185" s="22">
        <f t="shared" si="120"/>
        <v>1306.3340000000001</v>
      </c>
      <c r="K185" s="28">
        <f t="shared" si="121"/>
        <v>-0.5674156940654157</v>
      </c>
      <c r="L185" s="28">
        <f t="shared" si="122"/>
        <v>0.72618693867529704</v>
      </c>
      <c r="M185" s="28">
        <f t="shared" si="123"/>
        <v>-1.4444684344912342</v>
      </c>
      <c r="N185" s="28">
        <f t="shared" si="124"/>
        <v>-0.15086580175052172</v>
      </c>
      <c r="O185" s="28">
        <f t="shared" si="125"/>
        <v>742.27006792348413</v>
      </c>
      <c r="P185" s="28">
        <f t="shared" si="126"/>
        <v>495.33016825195728</v>
      </c>
      <c r="Q185" s="28">
        <f t="shared" si="127"/>
        <v>-13.904343370712965</v>
      </c>
      <c r="R185" s="28">
        <f t="shared" si="128"/>
        <v>161.50888721240005</v>
      </c>
      <c r="S185" s="22">
        <f t="shared" si="129"/>
        <v>1278.7873320849205</v>
      </c>
      <c r="T185" s="22">
        <f t="shared" si="130"/>
        <v>1280.4660000000001</v>
      </c>
      <c r="U185" s="28">
        <f t="shared" si="131"/>
        <v>-0.60756876829319262</v>
      </c>
      <c r="V185" s="28">
        <f t="shared" si="132"/>
        <v>0.68603386444752001</v>
      </c>
      <c r="W185" s="28">
        <f t="shared" si="133"/>
        <v>-1.4043153602634577</v>
      </c>
      <c r="X185" s="28">
        <f t="shared" si="134"/>
        <v>-0.11071272752274486</v>
      </c>
      <c r="Y185" s="28">
        <f t="shared" si="135"/>
        <v>760.81679637462344</v>
      </c>
      <c r="Z185" s="28">
        <f t="shared" si="136"/>
        <v>516.01613430775637</v>
      </c>
      <c r="AA185" s="28">
        <f t="shared" si="137"/>
        <v>-15.217837458810934</v>
      </c>
      <c r="AB185" s="28">
        <f t="shared" si="138"/>
        <v>164.2201526902515</v>
      </c>
      <c r="AC185" s="22">
        <f t="shared" si="139"/>
        <v>1254.0766064631719</v>
      </c>
      <c r="AD185" s="43">
        <f t="shared" si="140"/>
        <v>0.95526231721620058</v>
      </c>
      <c r="AE185" s="22">
        <f t="shared" si="141"/>
        <v>1235.536281087434</v>
      </c>
      <c r="AF185" s="22">
        <f t="shared" si="142"/>
        <v>30.975613192720175</v>
      </c>
      <c r="AG185" s="30">
        <f t="shared" si="143"/>
        <v>0.97554258011108075</v>
      </c>
    </row>
    <row r="186" spans="1:33" x14ac:dyDescent="0.2">
      <c r="A186" s="35">
        <f>P2_TaskV_Valuation!A186</f>
        <v>46174</v>
      </c>
      <c r="B186" s="36">
        <f>P2_TaskV_Valuation!B186</f>
        <v>1207</v>
      </c>
      <c r="C186" s="45">
        <f>P2_TaskV_Valuation!N186</f>
        <v>2.4778053848218268E-2</v>
      </c>
      <c r="D186" s="37">
        <f>P2_TaskV_Valuation!C186</f>
        <v>0.54200000000000004</v>
      </c>
      <c r="E186" s="46">
        <f>P2_TaskV_Valuation!D186</f>
        <v>1.0465753424657533</v>
      </c>
      <c r="F186" s="47">
        <f>P2_TaskV_Valuation!O186</f>
        <v>1.8778053848218269E-2</v>
      </c>
      <c r="G186" s="47">
        <f>P2_TaskV_Valuation!P186</f>
        <v>0.5544782763139684</v>
      </c>
      <c r="H186" s="47">
        <f>P2_TaskV_Valuation!Q186</f>
        <v>-0.43607775681084726</v>
      </c>
      <c r="I186" s="36">
        <f>P2_TaskV_Valuation!AB186</f>
        <v>1147.3552029537732</v>
      </c>
      <c r="J186" s="22">
        <f t="shared" si="120"/>
        <v>1219.07</v>
      </c>
      <c r="K186" s="28">
        <f t="shared" si="121"/>
        <v>-0.58015470351833676</v>
      </c>
      <c r="L186" s="28">
        <f t="shared" si="122"/>
        <v>0.58194134950295773</v>
      </c>
      <c r="M186" s="28">
        <f t="shared" si="123"/>
        <v>-1.1186721357669964</v>
      </c>
      <c r="N186" s="28">
        <f t="shared" si="124"/>
        <v>4.3423917254298228E-2</v>
      </c>
      <c r="O186" s="28">
        <f t="shared" si="125"/>
        <v>827.70072335051964</v>
      </c>
      <c r="P186" s="28">
        <f t="shared" si="126"/>
        <v>613.48243027201511</v>
      </c>
      <c r="Q186" s="28">
        <f t="shared" si="127"/>
        <v>-30.097958539080253</v>
      </c>
      <c r="R186" s="28">
        <f t="shared" si="128"/>
        <v>146.70390673303723</v>
      </c>
      <c r="S186" s="22">
        <f t="shared" si="129"/>
        <v>1158.5182024968744</v>
      </c>
      <c r="T186" s="22">
        <f t="shared" si="130"/>
        <v>1194.93</v>
      </c>
      <c r="U186" s="28">
        <f t="shared" si="131"/>
        <v>-0.61622584924406076</v>
      </c>
      <c r="V186" s="28">
        <f t="shared" si="132"/>
        <v>0.54587020377723339</v>
      </c>
      <c r="W186" s="28">
        <f t="shared" si="133"/>
        <v>-1.0826009900412721</v>
      </c>
      <c r="X186" s="28">
        <f t="shared" si="134"/>
        <v>7.9495062980022096E-2</v>
      </c>
      <c r="Y186" s="28">
        <f t="shared" si="135"/>
        <v>845.09536991235461</v>
      </c>
      <c r="Z186" s="28">
        <f t="shared" si="136"/>
        <v>633.67234660015527</v>
      </c>
      <c r="AA186" s="28">
        <f t="shared" si="137"/>
        <v>-32.33237166665414</v>
      </c>
      <c r="AB186" s="28">
        <f t="shared" si="138"/>
        <v>146.71102649792465</v>
      </c>
      <c r="AC186" s="22">
        <f t="shared" si="139"/>
        <v>1136.0867532762732</v>
      </c>
      <c r="AD186" s="43">
        <f t="shared" si="140"/>
        <v>0.92922324857503225</v>
      </c>
      <c r="AE186" s="22">
        <f t="shared" si="141"/>
        <v>1121.572461030064</v>
      </c>
      <c r="AF186" s="22">
        <f t="shared" si="142"/>
        <v>25.782741923709182</v>
      </c>
      <c r="AG186" s="30">
        <f t="shared" si="143"/>
        <v>0.97752854403123501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8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</cols>
  <sheetData>
    <row r="1" spans="1:2" ht="18" x14ac:dyDescent="0.2">
      <c r="A1" s="2" t="s">
        <v>274</v>
      </c>
    </row>
    <row r="2" spans="1:2" x14ac:dyDescent="0.2">
      <c r="A2" s="9" t="s">
        <v>275</v>
      </c>
    </row>
    <row r="4" spans="1:2" x14ac:dyDescent="0.2">
      <c r="A4" s="4" t="s">
        <v>276</v>
      </c>
    </row>
    <row r="5" spans="1:2" x14ac:dyDescent="0.2">
      <c r="A5" s="27" t="s">
        <v>277</v>
      </c>
      <c r="B5" s="12">
        <f>Data_Stock!B4</f>
        <v>1707.93</v>
      </c>
    </row>
    <row r="6" spans="1:2" x14ac:dyDescent="0.2">
      <c r="A6" s="27" t="s">
        <v>194</v>
      </c>
      <c r="B6" s="18">
        <f>Data_Stock!C4</f>
        <v>0.39</v>
      </c>
    </row>
    <row r="7" spans="1:2" x14ac:dyDescent="0.2">
      <c r="A7" s="27" t="s">
        <v>239</v>
      </c>
      <c r="B7" s="40">
        <f>MAX((MaturityDate-Data_Stock!A4)/365,1/365)</f>
        <v>1.7863013698630137</v>
      </c>
    </row>
    <row r="8" spans="1:2" x14ac:dyDescent="0.2">
      <c r="A8" s="27" t="s">
        <v>240</v>
      </c>
      <c r="B8" s="13">
        <f>P2_TaskVI_Greeks!B8</f>
        <v>1.9161407342565429E-2</v>
      </c>
    </row>
    <row r="9" spans="1:2" x14ac:dyDescent="0.2">
      <c r="A9" s="27" t="s">
        <v>278</v>
      </c>
      <c r="B9" s="13">
        <f>q</f>
        <v>6.0000000000000001E-3</v>
      </c>
    </row>
    <row r="10" spans="1:2" x14ac:dyDescent="0.2">
      <c r="A10" s="27" t="s">
        <v>279</v>
      </c>
      <c r="B10" s="48">
        <v>25</v>
      </c>
    </row>
    <row r="11" spans="1:2" x14ac:dyDescent="0.2">
      <c r="A11" s="27" t="s">
        <v>280</v>
      </c>
      <c r="B11" s="15">
        <f>B7/B10</f>
        <v>7.1452054794520548E-2</v>
      </c>
    </row>
    <row r="12" spans="1:2" x14ac:dyDescent="0.2">
      <c r="A12" s="27" t="s">
        <v>281</v>
      </c>
      <c r="B12" s="15">
        <f>EXP(B6*SQRT(B11))</f>
        <v>1.1098767986380613</v>
      </c>
    </row>
    <row r="13" spans="1:2" x14ac:dyDescent="0.2">
      <c r="A13" s="27" t="s">
        <v>282</v>
      </c>
      <c r="B13" s="15">
        <f>1/B12</f>
        <v>0.90100090498973218</v>
      </c>
    </row>
    <row r="14" spans="1:2" x14ac:dyDescent="0.2">
      <c r="A14" s="27" t="s">
        <v>283</v>
      </c>
      <c r="B14" s="15">
        <f>(EXP((B8-B9)*B11)-B13)/(B12-B13)</f>
        <v>0.47846568211885221</v>
      </c>
    </row>
    <row r="15" spans="1:2" x14ac:dyDescent="0.2">
      <c r="A15" s="27" t="s">
        <v>284</v>
      </c>
      <c r="B15" s="15">
        <f>EXP(-B8*B11)</f>
        <v>0.99863181489245589</v>
      </c>
    </row>
    <row r="17" spans="1:27" x14ac:dyDescent="0.2">
      <c r="A17" s="4" t="s">
        <v>285</v>
      </c>
      <c r="B17" s="9">
        <v>0</v>
      </c>
      <c r="C17" s="9">
        <v>1</v>
      </c>
      <c r="D17" s="9">
        <v>2</v>
      </c>
      <c r="E17" s="9">
        <v>3</v>
      </c>
      <c r="F17" s="9">
        <v>4</v>
      </c>
      <c r="G17" s="9">
        <v>5</v>
      </c>
      <c r="H17" s="9">
        <v>6</v>
      </c>
      <c r="I17" s="9">
        <v>7</v>
      </c>
      <c r="J17" s="9">
        <v>8</v>
      </c>
      <c r="K17" s="9">
        <v>9</v>
      </c>
      <c r="L17" s="9">
        <v>10</v>
      </c>
      <c r="M17" s="9">
        <v>11</v>
      </c>
      <c r="N17" s="9">
        <v>12</v>
      </c>
      <c r="O17" s="9">
        <v>13</v>
      </c>
      <c r="P17" s="9">
        <v>14</v>
      </c>
      <c r="Q17" s="9">
        <v>15</v>
      </c>
      <c r="R17" s="9">
        <v>16</v>
      </c>
      <c r="S17" s="9">
        <v>17</v>
      </c>
      <c r="T17" s="9">
        <v>18</v>
      </c>
      <c r="U17" s="9">
        <v>19</v>
      </c>
      <c r="V17" s="9">
        <v>20</v>
      </c>
      <c r="W17" s="9">
        <v>21</v>
      </c>
      <c r="X17" s="9">
        <v>22</v>
      </c>
      <c r="Y17" s="9">
        <v>23</v>
      </c>
      <c r="Z17" s="9">
        <v>24</v>
      </c>
      <c r="AA17" s="9">
        <v>25</v>
      </c>
    </row>
    <row r="18" spans="1:27" x14ac:dyDescent="0.2">
      <c r="B18" s="49">
        <f>$B$5*($B$12^0)*($B$13^0)</f>
        <v>1707.93</v>
      </c>
      <c r="C18" s="49">
        <f>$B$5*($B$12^0)*($B$13^1)</f>
        <v>1538.8464756591134</v>
      </c>
      <c r="D18" s="49">
        <f>$B$5*($B$12^0)*($B$13^2)</f>
        <v>1386.5020672091209</v>
      </c>
      <c r="E18" s="49">
        <f>$B$5*($B$12^0)*($B$13^3)</f>
        <v>1249.2396173255527</v>
      </c>
      <c r="F18" s="49">
        <f>$B$5*($B$12^0)*($B$13^4)</f>
        <v>1125.5660257593495</v>
      </c>
      <c r="G18" s="49">
        <f>$B$5*($B$12^0)*($B$13^5)</f>
        <v>1014.13600783487</v>
      </c>
      <c r="H18" s="49">
        <f>$B$5*($B$12^0)*($B$13^6)</f>
        <v>913.73746084189213</v>
      </c>
      <c r="I18" s="49">
        <f>$B$5*($B$12^0)*($B$13^7)</f>
        <v>823.27827914156478</v>
      </c>
      <c r="J18" s="49">
        <f>$B$5*($B$12^0)*($B$13^8)</f>
        <v>741.77447456493917</v>
      </c>
      <c r="K18" s="49">
        <f>$B$5*($B$12^0)*($B$13^9)</f>
        <v>668.3394728812932</v>
      </c>
      <c r="L18" s="49">
        <f>$B$5*($B$12^0)*($B$13^10)</f>
        <v>602.17446990640588</v>
      </c>
      <c r="M18" s="49">
        <f>$B$5*($B$12^0)*($B$13^11)</f>
        <v>542.55974234738392</v>
      </c>
      <c r="N18" s="49">
        <f>$B$5*($B$12^0)*($B$13^12)</f>
        <v>488.84681886598878</v>
      </c>
      <c r="O18" s="49">
        <f>$B$5*($B$12^0)*($B$13^13)</f>
        <v>440.45142619960757</v>
      </c>
      <c r="P18" s="49">
        <f>$B$5*($B$12^0)*($B$13^14)</f>
        <v>396.84713360986473</v>
      </c>
      <c r="Q18" s="49">
        <f>$B$5*($B$12^0)*($B$13^15)</f>
        <v>357.55962652506923</v>
      </c>
      <c r="R18" s="49">
        <f>$B$5*($B$12^0)*($B$13^16)</f>
        <v>322.16154708687804</v>
      </c>
      <c r="S18" s="49">
        <f>$B$5*($B$12^0)*($B$13^17)</f>
        <v>290.26784547816936</v>
      </c>
      <c r="T18" s="49">
        <f>$B$5*($B$12^0)*($B$13^18)</f>
        <v>261.5315914652503</v>
      </c>
      <c r="U18" s="49">
        <f>$B$5*($B$12^0)*($B$13^19)</f>
        <v>235.64020059359544</v>
      </c>
      <c r="V18" s="49">
        <f>$B$5*($B$12^0)*($B$13^20)</f>
        <v>212.31203398679153</v>
      </c>
      <c r="W18" s="49">
        <f>$B$5*($B$12^0)*($B$13^21)</f>
        <v>191.29333476230994</v>
      </c>
      <c r="X18" s="49">
        <f>$B$5*($B$12^0)*($B$13^22)</f>
        <v>172.35546773934507</v>
      </c>
      <c r="Y18" s="49">
        <f>$B$5*($B$12^0)*($B$13^23)</f>
        <v>155.2924324130785</v>
      </c>
      <c r="Z18" s="49">
        <f>$B$5*($B$12^0)*($B$13^24)</f>
        <v>139.91862214224054</v>
      </c>
      <c r="AA18" s="49">
        <f>$B$5*($B$12^0)*($B$13^25)</f>
        <v>126.06680517507509</v>
      </c>
    </row>
    <row r="19" spans="1:27" x14ac:dyDescent="0.2">
      <c r="C19" s="49">
        <f>$B$5*($B$12^1)*($B$13^0)</f>
        <v>1895.5918806979041</v>
      </c>
      <c r="D19" s="49">
        <f>$B$5*($B$12^1)*($B$13^1)</f>
        <v>1707.93</v>
      </c>
      <c r="E19" s="49">
        <f>$B$5*($B$12^1)*($B$13^2)</f>
        <v>1538.8464756591134</v>
      </c>
      <c r="F19" s="49">
        <f>$B$5*($B$12^1)*($B$13^3)</f>
        <v>1386.5020672091212</v>
      </c>
      <c r="G19" s="49">
        <f>$B$5*($B$12^1)*($B$13^4)</f>
        <v>1249.2396173255524</v>
      </c>
      <c r="H19" s="49">
        <f>$B$5*($B$12^1)*($B$13^5)</f>
        <v>1125.5660257593495</v>
      </c>
      <c r="I19" s="49">
        <f>$B$5*($B$12^1)*($B$13^6)</f>
        <v>1014.1360078348702</v>
      </c>
      <c r="J19" s="49">
        <f>$B$5*($B$12^1)*($B$13^7)</f>
        <v>913.73746084189213</v>
      </c>
      <c r="K19" s="49">
        <f>$B$5*($B$12^1)*($B$13^8)</f>
        <v>823.27827914156478</v>
      </c>
      <c r="L19" s="49">
        <f>$B$5*($B$12^1)*($B$13^9)</f>
        <v>741.77447456493917</v>
      </c>
      <c r="M19" s="49">
        <f>$B$5*($B$12^1)*($B$13^10)</f>
        <v>668.33947288129332</v>
      </c>
      <c r="N19" s="49">
        <f>$B$5*($B$12^1)*($B$13^11)</f>
        <v>602.17446990640588</v>
      </c>
      <c r="O19" s="49">
        <f>$B$5*($B$12^1)*($B$13^12)</f>
        <v>542.5597423473838</v>
      </c>
      <c r="P19" s="49">
        <f>$B$5*($B$12^1)*($B$13^13)</f>
        <v>488.84681886598878</v>
      </c>
      <c r="Q19" s="49">
        <f>$B$5*($B$12^1)*($B$13^14)</f>
        <v>440.45142619960762</v>
      </c>
      <c r="R19" s="49">
        <f>$B$5*($B$12^1)*($B$13^15)</f>
        <v>396.84713360986467</v>
      </c>
      <c r="S19" s="49">
        <f>$B$5*($B$12^1)*($B$13^16)</f>
        <v>357.55962652506923</v>
      </c>
      <c r="T19" s="49">
        <f>$B$5*($B$12^1)*($B$13^17)</f>
        <v>322.16154708687804</v>
      </c>
      <c r="U19" s="49">
        <f>$B$5*($B$12^1)*($B$13^18)</f>
        <v>290.26784547816931</v>
      </c>
      <c r="V19" s="49">
        <f>$B$5*($B$12^1)*($B$13^19)</f>
        <v>261.5315914652503</v>
      </c>
      <c r="W19" s="49">
        <f>$B$5*($B$12^1)*($B$13^20)</f>
        <v>235.64020059359544</v>
      </c>
      <c r="X19" s="49">
        <f>$B$5*($B$12^1)*($B$13^21)</f>
        <v>212.31203398679153</v>
      </c>
      <c r="Y19" s="49">
        <f>$B$5*($B$12^1)*($B$13^22)</f>
        <v>191.29333476230997</v>
      </c>
      <c r="Z19" s="49">
        <f>$B$5*($B$12^1)*($B$13^23)</f>
        <v>172.35546773934507</v>
      </c>
      <c r="AA19" s="49">
        <f>$B$5*($B$12^1)*($B$13^24)</f>
        <v>155.2924324130785</v>
      </c>
    </row>
    <row r="20" spans="1:27" x14ac:dyDescent="0.2">
      <c r="D20" s="49">
        <f>$B$5*($B$12^2)*($B$13^0)</f>
        <v>2103.8734480732915</v>
      </c>
      <c r="E20" s="49">
        <f>$B$5*($B$12^2)*($B$13^1)</f>
        <v>1895.5918806979039</v>
      </c>
      <c r="F20" s="49">
        <f>$B$5*($B$12^2)*($B$13^2)</f>
        <v>1707.9299999999998</v>
      </c>
      <c r="G20" s="49">
        <f>$B$5*($B$12^2)*($B$13^3)</f>
        <v>1538.8464756591134</v>
      </c>
      <c r="H20" s="49">
        <f>$B$5*($B$12^2)*($B$13^4)</f>
        <v>1386.5020672091209</v>
      </c>
      <c r="I20" s="49">
        <f>$B$5*($B$12^2)*($B$13^5)</f>
        <v>1249.2396173255522</v>
      </c>
      <c r="J20" s="49">
        <f>$B$5*($B$12^2)*($B$13^6)</f>
        <v>1125.5660257593495</v>
      </c>
      <c r="K20" s="49">
        <f>$B$5*($B$12^2)*($B$13^7)</f>
        <v>1014.13600783487</v>
      </c>
      <c r="L20" s="49">
        <f>$B$5*($B$12^2)*($B$13^8)</f>
        <v>913.73746084189202</v>
      </c>
      <c r="M20" s="49">
        <f>$B$5*($B$12^2)*($B$13^9)</f>
        <v>823.27827914156467</v>
      </c>
      <c r="N20" s="49">
        <f>$B$5*($B$12^2)*($B$13^10)</f>
        <v>741.77447456493906</v>
      </c>
      <c r="O20" s="49">
        <f>$B$5*($B$12^2)*($B$13^11)</f>
        <v>668.3394728812932</v>
      </c>
      <c r="P20" s="49">
        <f>$B$5*($B$12^2)*($B$13^12)</f>
        <v>602.17446990640576</v>
      </c>
      <c r="Q20" s="49">
        <f>$B$5*($B$12^2)*($B$13^13)</f>
        <v>542.5597423473838</v>
      </c>
      <c r="R20" s="49">
        <f>$B$5*($B$12^2)*($B$13^14)</f>
        <v>488.84681886598878</v>
      </c>
      <c r="S20" s="49">
        <f>$B$5*($B$12^2)*($B$13^15)</f>
        <v>440.45142619960757</v>
      </c>
      <c r="T20" s="49">
        <f>$B$5*($B$12^2)*($B$13^16)</f>
        <v>396.84713360986467</v>
      </c>
      <c r="U20" s="49">
        <f>$B$5*($B$12^2)*($B$13^17)</f>
        <v>357.55962652506923</v>
      </c>
      <c r="V20" s="49">
        <f>$B$5*($B$12^2)*($B$13^18)</f>
        <v>322.16154708687799</v>
      </c>
      <c r="W20" s="49">
        <f>$B$5*($B$12^2)*($B$13^19)</f>
        <v>290.26784547816931</v>
      </c>
      <c r="X20" s="49">
        <f>$B$5*($B$12^2)*($B$13^20)</f>
        <v>261.5315914652503</v>
      </c>
      <c r="Y20" s="49">
        <f>$B$5*($B$12^2)*($B$13^21)</f>
        <v>235.64020059359544</v>
      </c>
      <c r="Z20" s="49">
        <f>$B$5*($B$12^2)*($B$13^22)</f>
        <v>212.31203398679153</v>
      </c>
      <c r="AA20" s="49">
        <f>$B$5*($B$12^2)*($B$13^23)</f>
        <v>191.29333476230994</v>
      </c>
    </row>
    <row r="21" spans="1:27" x14ac:dyDescent="0.2">
      <c r="E21" s="49">
        <f>$B$5*($B$12^3)*($B$13^0)</f>
        <v>2335.0403272872045</v>
      </c>
      <c r="F21" s="49">
        <f>$B$5*($B$12^3)*($B$13^1)</f>
        <v>2103.8734480732915</v>
      </c>
      <c r="G21" s="49">
        <f>$B$5*($B$12^3)*($B$13^2)</f>
        <v>1895.5918806979041</v>
      </c>
      <c r="H21" s="49">
        <f>$B$5*($B$12^3)*($B$13^3)</f>
        <v>1707.93</v>
      </c>
      <c r="I21" s="49">
        <f>$B$5*($B$12^3)*($B$13^4)</f>
        <v>1538.8464756591134</v>
      </c>
      <c r="J21" s="49">
        <f>$B$5*($B$12^3)*($B$13^5)</f>
        <v>1386.5020672091209</v>
      </c>
      <c r="K21" s="49">
        <f>$B$5*($B$12^3)*($B$13^6)</f>
        <v>1249.2396173255527</v>
      </c>
      <c r="L21" s="49">
        <f>$B$5*($B$12^3)*($B$13^7)</f>
        <v>1125.5660257593495</v>
      </c>
      <c r="M21" s="49">
        <f>$B$5*($B$12^3)*($B$13^8)</f>
        <v>1014.1360078348702</v>
      </c>
      <c r="N21" s="49">
        <f>$B$5*($B$12^3)*($B$13^9)</f>
        <v>913.73746084189202</v>
      </c>
      <c r="O21" s="49">
        <f>$B$5*($B$12^3)*($B$13^10)</f>
        <v>823.27827914156478</v>
      </c>
      <c r="P21" s="49">
        <f>$B$5*($B$12^3)*($B$13^11)</f>
        <v>741.77447456493917</v>
      </c>
      <c r="Q21" s="49">
        <f>$B$5*($B$12^3)*($B$13^12)</f>
        <v>668.3394728812932</v>
      </c>
      <c r="R21" s="49">
        <f>$B$5*($B$12^3)*($B$13^13)</f>
        <v>602.17446990640576</v>
      </c>
      <c r="S21" s="49">
        <f>$B$5*($B$12^3)*($B$13^14)</f>
        <v>542.55974234738392</v>
      </c>
      <c r="T21" s="49">
        <f>$B$5*($B$12^3)*($B$13^15)</f>
        <v>488.84681886598884</v>
      </c>
      <c r="U21" s="49">
        <f>$B$5*($B$12^3)*($B$13^16)</f>
        <v>440.45142619960762</v>
      </c>
      <c r="V21" s="49">
        <f>$B$5*($B$12^3)*($B$13^17)</f>
        <v>396.84713360986473</v>
      </c>
      <c r="W21" s="49">
        <f>$B$5*($B$12^3)*($B$13^18)</f>
        <v>357.55962652506923</v>
      </c>
      <c r="X21" s="49">
        <f>$B$5*($B$12^3)*($B$13^19)</f>
        <v>322.16154708687804</v>
      </c>
      <c r="Y21" s="49">
        <f>$B$5*($B$12^3)*($B$13^20)</f>
        <v>290.26784547816931</v>
      </c>
      <c r="Z21" s="49">
        <f>$B$5*($B$12^3)*($B$13^21)</f>
        <v>261.5315914652503</v>
      </c>
      <c r="AA21" s="49">
        <f>$B$5*($B$12^3)*($B$13^22)</f>
        <v>235.64020059359549</v>
      </c>
    </row>
    <row r="22" spans="1:27" x14ac:dyDescent="0.2">
      <c r="F22" s="49">
        <f>$B$5*($B$12^4)*($B$13^0)</f>
        <v>2591.6070831402931</v>
      </c>
      <c r="G22" s="49">
        <f>$B$5*($B$12^4)*($B$13^1)</f>
        <v>2335.040327287204</v>
      </c>
      <c r="H22" s="49">
        <f>$B$5*($B$12^4)*($B$13^2)</f>
        <v>2103.8734480732915</v>
      </c>
      <c r="I22" s="49">
        <f>$B$5*($B$12^4)*($B$13^3)</f>
        <v>1895.5918806979039</v>
      </c>
      <c r="J22" s="49">
        <f>$B$5*($B$12^4)*($B$13^4)</f>
        <v>1707.9299999999998</v>
      </c>
      <c r="K22" s="49">
        <f>$B$5*($B$12^4)*($B$13^5)</f>
        <v>1538.8464756591131</v>
      </c>
      <c r="L22" s="49">
        <f>$B$5*($B$12^4)*($B$13^6)</f>
        <v>1386.5020672091209</v>
      </c>
      <c r="M22" s="49">
        <f>$B$5*($B$12^4)*($B$13^7)</f>
        <v>1249.2396173255524</v>
      </c>
      <c r="N22" s="49">
        <f>$B$5*($B$12^4)*($B$13^8)</f>
        <v>1125.5660257593493</v>
      </c>
      <c r="O22" s="49">
        <f>$B$5*($B$12^4)*($B$13^9)</f>
        <v>1014.1360078348699</v>
      </c>
      <c r="P22" s="49">
        <f>$B$5*($B$12^4)*($B$13^10)</f>
        <v>913.7374608418919</v>
      </c>
      <c r="Q22" s="49">
        <f>$B$5*($B$12^4)*($B$13^11)</f>
        <v>823.27827914156467</v>
      </c>
      <c r="R22" s="49">
        <f>$B$5*($B$12^4)*($B$13^12)</f>
        <v>741.77447456493906</v>
      </c>
      <c r="S22" s="49">
        <f>$B$5*($B$12^4)*($B$13^13)</f>
        <v>668.3394728812932</v>
      </c>
      <c r="T22" s="49">
        <f>$B$5*($B$12^4)*($B$13^14)</f>
        <v>602.17446990640576</v>
      </c>
      <c r="U22" s="49">
        <f>$B$5*($B$12^4)*($B$13^15)</f>
        <v>542.5597423473838</v>
      </c>
      <c r="V22" s="49">
        <f>$B$5*($B$12^4)*($B$13^16)</f>
        <v>488.84681886598878</v>
      </c>
      <c r="W22" s="49">
        <f>$B$5*($B$12^4)*($B$13^17)</f>
        <v>440.45142619960757</v>
      </c>
      <c r="X22" s="49">
        <f>$B$5*($B$12^4)*($B$13^18)</f>
        <v>396.84713360986461</v>
      </c>
      <c r="Y22" s="49">
        <f>$B$5*($B$12^4)*($B$13^19)</f>
        <v>357.55962652506918</v>
      </c>
      <c r="Z22" s="49">
        <f>$B$5*($B$12^4)*($B$13^20)</f>
        <v>322.16154708687799</v>
      </c>
      <c r="AA22" s="49">
        <f>$B$5*($B$12^4)*($B$13^21)</f>
        <v>290.26784547816931</v>
      </c>
    </row>
    <row r="23" spans="1:27" x14ac:dyDescent="0.2">
      <c r="G23" s="49">
        <f>$B$5*($B$12^5)*($B$13^0)</f>
        <v>2876.3645727634726</v>
      </c>
      <c r="H23" s="49">
        <f>$B$5*($B$12^5)*($B$13^1)</f>
        <v>2591.6070831402931</v>
      </c>
      <c r="I23" s="49">
        <f>$B$5*($B$12^5)*($B$13^2)</f>
        <v>2335.040327287204</v>
      </c>
      <c r="J23" s="49">
        <f>$B$5*($B$12^5)*($B$13^3)</f>
        <v>2103.8734480732915</v>
      </c>
      <c r="K23" s="49">
        <f>$B$5*($B$12^5)*($B$13^4)</f>
        <v>1895.5918806979039</v>
      </c>
      <c r="L23" s="49">
        <f>$B$5*($B$12^5)*($B$13^5)</f>
        <v>1707.9299999999998</v>
      </c>
      <c r="M23" s="49">
        <f>$B$5*($B$12^5)*($B$13^6)</f>
        <v>1538.8464756591134</v>
      </c>
      <c r="N23" s="49">
        <f>$B$5*($B$12^5)*($B$13^7)</f>
        <v>1386.5020672091209</v>
      </c>
      <c r="O23" s="49">
        <f>$B$5*($B$12^5)*($B$13^8)</f>
        <v>1249.2396173255524</v>
      </c>
      <c r="P23" s="49">
        <f>$B$5*($B$12^5)*($B$13^9)</f>
        <v>1125.5660257593493</v>
      </c>
      <c r="Q23" s="49">
        <f>$B$5*($B$12^5)*($B$13^10)</f>
        <v>1014.1360078348699</v>
      </c>
      <c r="R23" s="49">
        <f>$B$5*($B$12^5)*($B$13^11)</f>
        <v>913.73746084189202</v>
      </c>
      <c r="S23" s="49">
        <f>$B$5*($B$12^5)*($B$13^12)</f>
        <v>823.27827914156455</v>
      </c>
      <c r="T23" s="49">
        <f>$B$5*($B$12^5)*($B$13^13)</f>
        <v>741.77447456493906</v>
      </c>
      <c r="U23" s="49">
        <f>$B$5*($B$12^5)*($B$13^14)</f>
        <v>668.33947288129332</v>
      </c>
      <c r="V23" s="49">
        <f>$B$5*($B$12^5)*($B$13^15)</f>
        <v>602.17446990640576</v>
      </c>
      <c r="W23" s="49">
        <f>$B$5*($B$12^5)*($B$13^16)</f>
        <v>542.5597423473838</v>
      </c>
      <c r="X23" s="49">
        <f>$B$5*($B$12^5)*($B$13^17)</f>
        <v>488.84681886598878</v>
      </c>
      <c r="Y23" s="49">
        <f>$B$5*($B$12^5)*($B$13^18)</f>
        <v>440.45142619960757</v>
      </c>
      <c r="Z23" s="49">
        <f>$B$5*($B$12^5)*($B$13^19)</f>
        <v>396.84713360986461</v>
      </c>
      <c r="AA23" s="49">
        <f>$B$5*($B$12^5)*($B$13^20)</f>
        <v>357.55962652506918</v>
      </c>
    </row>
    <row r="24" spans="1:27" x14ac:dyDescent="0.2">
      <c r="H24" s="49">
        <f>$B$5*($B$12^6)*($B$13^0)</f>
        <v>3192.4103037346581</v>
      </c>
      <c r="I24" s="49">
        <f>$B$5*($B$12^6)*($B$13^1)</f>
        <v>2876.3645727634726</v>
      </c>
      <c r="J24" s="49">
        <f>$B$5*($B$12^6)*($B$13^2)</f>
        <v>2591.6070831402935</v>
      </c>
      <c r="K24" s="49">
        <f>$B$5*($B$12^6)*($B$13^3)</f>
        <v>2335.0403272872045</v>
      </c>
      <c r="L24" s="49">
        <f>$B$5*($B$12^6)*($B$13^4)</f>
        <v>2103.8734480732915</v>
      </c>
      <c r="M24" s="49">
        <f>$B$5*($B$12^6)*($B$13^5)</f>
        <v>1895.5918806979039</v>
      </c>
      <c r="N24" s="49">
        <f>$B$5*($B$12^6)*($B$13^6)</f>
        <v>1707.93</v>
      </c>
      <c r="O24" s="49">
        <f>$B$5*($B$12^6)*($B$13^7)</f>
        <v>1538.8464756591134</v>
      </c>
      <c r="P24" s="49">
        <f>$B$5*($B$12^6)*($B$13^8)</f>
        <v>1386.5020672091209</v>
      </c>
      <c r="Q24" s="49">
        <f>$B$5*($B$12^6)*($B$13^9)</f>
        <v>1249.2396173255524</v>
      </c>
      <c r="R24" s="49">
        <f>$B$5*($B$12^6)*($B$13^10)</f>
        <v>1125.5660257593495</v>
      </c>
      <c r="S24" s="49">
        <f>$B$5*($B$12^6)*($B$13^11)</f>
        <v>1014.13600783487</v>
      </c>
      <c r="T24" s="49">
        <f>$B$5*($B$12^6)*($B$13^12)</f>
        <v>913.73746084189202</v>
      </c>
      <c r="U24" s="49">
        <f>$B$5*($B$12^6)*($B$13^13)</f>
        <v>823.27827914156467</v>
      </c>
      <c r="V24" s="49">
        <f>$B$5*($B$12^6)*($B$13^14)</f>
        <v>741.77447456493928</v>
      </c>
      <c r="W24" s="49">
        <f>$B$5*($B$12^6)*($B$13^15)</f>
        <v>668.33947288129332</v>
      </c>
      <c r="X24" s="49">
        <f>$B$5*($B$12^6)*($B$13^16)</f>
        <v>602.17446990640588</v>
      </c>
      <c r="Y24" s="49">
        <f>$B$5*($B$12^6)*($B$13^17)</f>
        <v>542.55974234738392</v>
      </c>
      <c r="Z24" s="49">
        <f>$B$5*($B$12^6)*($B$13^18)</f>
        <v>488.84681886598878</v>
      </c>
      <c r="AA24" s="49">
        <f>$B$5*($B$12^6)*($B$13^19)</f>
        <v>440.45142619960757</v>
      </c>
    </row>
    <row r="25" spans="1:27" x14ac:dyDescent="0.2">
      <c r="I25" s="49">
        <f>$B$5*($B$12^7)*($B$13^0)</f>
        <v>3543.182127848183</v>
      </c>
      <c r="J25" s="49">
        <f>$B$5*($B$12^7)*($B$13^1)</f>
        <v>3192.4103037346576</v>
      </c>
      <c r="K25" s="49">
        <f>$B$5*($B$12^7)*($B$13^2)</f>
        <v>2876.3645727634726</v>
      </c>
      <c r="L25" s="49">
        <f>$B$5*($B$12^7)*($B$13^3)</f>
        <v>2591.6070831402931</v>
      </c>
      <c r="M25" s="49">
        <f>$B$5*($B$12^7)*($B$13^4)</f>
        <v>2335.040327287204</v>
      </c>
      <c r="N25" s="49">
        <f>$B$5*($B$12^7)*($B$13^5)</f>
        <v>2103.8734480732915</v>
      </c>
      <c r="O25" s="49">
        <f>$B$5*($B$12^7)*($B$13^6)</f>
        <v>1895.5918806979041</v>
      </c>
      <c r="P25" s="49">
        <f>$B$5*($B$12^7)*($B$13^7)</f>
        <v>1707.9299999999998</v>
      </c>
      <c r="Q25" s="49">
        <f>$B$5*($B$12^7)*($B$13^8)</f>
        <v>1538.8464756591131</v>
      </c>
      <c r="R25" s="49">
        <f>$B$5*($B$12^7)*($B$13^9)</f>
        <v>1386.5020672091207</v>
      </c>
      <c r="S25" s="49">
        <f>$B$5*($B$12^7)*($B$13^10)</f>
        <v>1249.2396173255522</v>
      </c>
      <c r="T25" s="49">
        <f>$B$5*($B$12^7)*($B$13^11)</f>
        <v>1125.5660257593493</v>
      </c>
      <c r="U25" s="49">
        <f>$B$5*($B$12^7)*($B$13^12)</f>
        <v>1014.1360078348699</v>
      </c>
      <c r="V25" s="49">
        <f>$B$5*($B$12^7)*($B$13^13)</f>
        <v>913.7374608418919</v>
      </c>
      <c r="W25" s="49">
        <f>$B$5*($B$12^7)*($B$13^14)</f>
        <v>823.27827914156467</v>
      </c>
      <c r="X25" s="49">
        <f>$B$5*($B$12^7)*($B$13^15)</f>
        <v>741.77447456493906</v>
      </c>
      <c r="Y25" s="49">
        <f>$B$5*($B$12^7)*($B$13^16)</f>
        <v>668.3394728812932</v>
      </c>
      <c r="Z25" s="49">
        <f>$B$5*($B$12^7)*($B$13^17)</f>
        <v>602.17446990640576</v>
      </c>
      <c r="AA25" s="49">
        <f>$B$5*($B$12^7)*($B$13^18)</f>
        <v>542.5597423473838</v>
      </c>
    </row>
    <row r="26" spans="1:27" x14ac:dyDescent="0.2">
      <c r="J26" s="49">
        <f>$B$5*($B$12^8)*($B$13^0)</f>
        <v>3932.4956370477357</v>
      </c>
      <c r="K26" s="49">
        <f>$B$5*($B$12^8)*($B$13^1)</f>
        <v>3543.1821278481834</v>
      </c>
      <c r="L26" s="49">
        <f>$B$5*($B$12^8)*($B$13^2)</f>
        <v>3192.4103037346581</v>
      </c>
      <c r="M26" s="49">
        <f>$B$5*($B$12^8)*($B$13^3)</f>
        <v>2876.364572763473</v>
      </c>
      <c r="N26" s="49">
        <f>$B$5*($B$12^8)*($B$13^4)</f>
        <v>2591.6070831402931</v>
      </c>
      <c r="O26" s="49">
        <f>$B$5*($B$12^8)*($B$13^5)</f>
        <v>2335.040327287204</v>
      </c>
      <c r="P26" s="49">
        <f>$B$5*($B$12^8)*($B$13^6)</f>
        <v>2103.8734480732919</v>
      </c>
      <c r="Q26" s="49">
        <f>$B$5*($B$12^8)*($B$13^7)</f>
        <v>1895.5918806979041</v>
      </c>
      <c r="R26" s="49">
        <f>$B$5*($B$12^8)*($B$13^8)</f>
        <v>1707.93</v>
      </c>
      <c r="S26" s="49">
        <f>$B$5*($B$12^8)*($B$13^9)</f>
        <v>1538.8464756591131</v>
      </c>
      <c r="T26" s="49">
        <f>$B$5*($B$12^8)*($B$13^10)</f>
        <v>1386.5020672091209</v>
      </c>
      <c r="U26" s="49">
        <f>$B$5*($B$12^8)*($B$13^11)</f>
        <v>1249.2396173255524</v>
      </c>
      <c r="V26" s="49">
        <f>$B$5*($B$12^8)*($B$13^12)</f>
        <v>1125.5660257593493</v>
      </c>
      <c r="W26" s="49">
        <f>$B$5*($B$12^8)*($B$13^13)</f>
        <v>1014.13600783487</v>
      </c>
      <c r="X26" s="49">
        <f>$B$5*($B$12^8)*($B$13^14)</f>
        <v>913.73746084189213</v>
      </c>
      <c r="Y26" s="49">
        <f>$B$5*($B$12^8)*($B$13^15)</f>
        <v>823.27827914156467</v>
      </c>
      <c r="Z26" s="49">
        <f>$B$5*($B$12^8)*($B$13^16)</f>
        <v>741.77447456493917</v>
      </c>
      <c r="AA26" s="49">
        <f>$B$5*($B$12^8)*($B$13^17)</f>
        <v>668.33947288129332</v>
      </c>
    </row>
    <row r="27" spans="1:27" x14ac:dyDescent="0.2">
      <c r="K27" s="49">
        <f>$B$5*($B$12^9)*($B$13^0)</f>
        <v>4364.5856683046841</v>
      </c>
      <c r="L27" s="49">
        <f>$B$5*($B$12^9)*($B$13^1)</f>
        <v>3932.4956370477353</v>
      </c>
      <c r="M27" s="49">
        <f>$B$5*($B$12^9)*($B$13^2)</f>
        <v>3543.182127848183</v>
      </c>
      <c r="N27" s="49">
        <f>$B$5*($B$12^9)*($B$13^3)</f>
        <v>3192.4103037346581</v>
      </c>
      <c r="O27" s="49">
        <f>$B$5*($B$12^9)*($B$13^4)</f>
        <v>2876.3645727634726</v>
      </c>
      <c r="P27" s="49">
        <f>$B$5*($B$12^9)*($B$13^5)</f>
        <v>2591.6070831402931</v>
      </c>
      <c r="Q27" s="49">
        <f>$B$5*($B$12^9)*($B$13^6)</f>
        <v>2335.0403272872045</v>
      </c>
      <c r="R27" s="49">
        <f>$B$5*($B$12^9)*($B$13^7)</f>
        <v>2103.8734480732915</v>
      </c>
      <c r="S27" s="49">
        <f>$B$5*($B$12^9)*($B$13^8)</f>
        <v>1895.5918806979039</v>
      </c>
      <c r="T27" s="49">
        <f>$B$5*($B$12^9)*($B$13^9)</f>
        <v>1707.9299999999996</v>
      </c>
      <c r="U27" s="49">
        <f>$B$5*($B$12^9)*($B$13^10)</f>
        <v>1538.8464756591131</v>
      </c>
      <c r="V27" s="49">
        <f>$B$5*($B$12^9)*($B$13^11)</f>
        <v>1386.5020672091207</v>
      </c>
      <c r="W27" s="49">
        <f>$B$5*($B$12^9)*($B$13^12)</f>
        <v>1249.2396173255522</v>
      </c>
      <c r="X27" s="49">
        <f>$B$5*($B$12^9)*($B$13^13)</f>
        <v>1125.5660257593493</v>
      </c>
      <c r="Y27" s="49">
        <f>$B$5*($B$12^9)*($B$13^14)</f>
        <v>1014.13600783487</v>
      </c>
      <c r="Z27" s="49">
        <f>$B$5*($B$12^9)*($B$13^15)</f>
        <v>913.73746084189202</v>
      </c>
      <c r="AA27" s="49">
        <f>$B$5*($B$12^9)*($B$13^16)</f>
        <v>823.27827914156467</v>
      </c>
    </row>
    <row r="28" spans="1:27" x14ac:dyDescent="0.2">
      <c r="L28" s="49">
        <f>$B$5*($B$12^10)*($B$13^0)</f>
        <v>4844.1523689195665</v>
      </c>
      <c r="M28" s="49">
        <f>$B$5*($B$12^10)*($B$13^1)</f>
        <v>4364.5856683046841</v>
      </c>
      <c r="N28" s="49">
        <f>$B$5*($B$12^10)*($B$13^2)</f>
        <v>3932.4956370477357</v>
      </c>
      <c r="O28" s="49">
        <f>$B$5*($B$12^10)*($B$13^3)</f>
        <v>3543.1821278481834</v>
      </c>
      <c r="P28" s="49">
        <f>$B$5*($B$12^10)*($B$13^4)</f>
        <v>3192.4103037346581</v>
      </c>
      <c r="Q28" s="49">
        <f>$B$5*($B$12^10)*($B$13^5)</f>
        <v>2876.3645727634726</v>
      </c>
      <c r="R28" s="49">
        <f>$B$5*($B$12^10)*($B$13^6)</f>
        <v>2591.6070831402935</v>
      </c>
      <c r="S28" s="49">
        <f>$B$5*($B$12^10)*($B$13^7)</f>
        <v>2335.0403272872045</v>
      </c>
      <c r="T28" s="49">
        <f>$B$5*($B$12^10)*($B$13^8)</f>
        <v>2103.8734480732915</v>
      </c>
      <c r="U28" s="49">
        <f>$B$5*($B$12^10)*($B$13^9)</f>
        <v>1895.5918806979039</v>
      </c>
      <c r="V28" s="49">
        <f>$B$5*($B$12^10)*($B$13^10)</f>
        <v>1707.9299999999998</v>
      </c>
      <c r="W28" s="49">
        <f>$B$5*($B$12^10)*($B$13^11)</f>
        <v>1538.8464756591131</v>
      </c>
      <c r="X28" s="49">
        <f>$B$5*($B$12^10)*($B$13^12)</f>
        <v>1386.5020672091207</v>
      </c>
      <c r="Y28" s="49">
        <f>$B$5*($B$12^10)*($B$13^13)</f>
        <v>1249.2396173255524</v>
      </c>
      <c r="Z28" s="49">
        <f>$B$5*($B$12^10)*($B$13^14)</f>
        <v>1125.5660257593495</v>
      </c>
      <c r="AA28" s="49">
        <f>$B$5*($B$12^10)*($B$13^15)</f>
        <v>1014.13600783487</v>
      </c>
    </row>
    <row r="29" spans="1:27" x14ac:dyDescent="0.2">
      <c r="M29" s="49">
        <f>$B$5*($B$12^11)*($B$13^0)</f>
        <v>5376.4123233314294</v>
      </c>
      <c r="N29" s="49">
        <f>$B$5*($B$12^11)*($B$13^1)</f>
        <v>4844.1523689195665</v>
      </c>
      <c r="O29" s="49">
        <f>$B$5*($B$12^11)*($B$13^2)</f>
        <v>4364.5856683046841</v>
      </c>
      <c r="P29" s="49">
        <f>$B$5*($B$12^11)*($B$13^3)</f>
        <v>3932.4956370477357</v>
      </c>
      <c r="Q29" s="49">
        <f>$B$5*($B$12^11)*($B$13^4)</f>
        <v>3543.1821278481834</v>
      </c>
      <c r="R29" s="49">
        <f>$B$5*($B$12^11)*($B$13^5)</f>
        <v>3192.4103037346581</v>
      </c>
      <c r="S29" s="49">
        <f>$B$5*($B$12^11)*($B$13^6)</f>
        <v>2876.364572763473</v>
      </c>
      <c r="T29" s="49">
        <f>$B$5*($B$12^11)*($B$13^7)</f>
        <v>2591.6070831402935</v>
      </c>
      <c r="U29" s="49">
        <f>$B$5*($B$12^11)*($B$13^8)</f>
        <v>2335.0403272872045</v>
      </c>
      <c r="V29" s="49">
        <f>$B$5*($B$12^11)*($B$13^9)</f>
        <v>2103.8734480732915</v>
      </c>
      <c r="W29" s="49">
        <f>$B$5*($B$12^11)*($B$13^10)</f>
        <v>1895.5918806979039</v>
      </c>
      <c r="X29" s="49">
        <f>$B$5*($B$12^11)*($B$13^11)</f>
        <v>1707.93</v>
      </c>
      <c r="Y29" s="49">
        <f>$B$5*($B$12^11)*($B$13^12)</f>
        <v>1538.8464756591131</v>
      </c>
      <c r="Z29" s="49">
        <f>$B$5*($B$12^11)*($B$13^13)</f>
        <v>1386.5020672091209</v>
      </c>
      <c r="AA29" s="49">
        <f>$B$5*($B$12^11)*($B$13^14)</f>
        <v>1249.2396173255524</v>
      </c>
    </row>
    <row r="30" spans="1:27" x14ac:dyDescent="0.2">
      <c r="N30" s="49">
        <f>$B$5*($B$12^12)*($B$13^0)</f>
        <v>5967.1552975773075</v>
      </c>
      <c r="O30" s="49">
        <f>$B$5*($B$12^12)*($B$13^1)</f>
        <v>5376.4123233314285</v>
      </c>
      <c r="P30" s="49">
        <f>$B$5*($B$12^12)*($B$13^2)</f>
        <v>4844.1523689195656</v>
      </c>
      <c r="Q30" s="49">
        <f>$B$5*($B$12^12)*($B$13^3)</f>
        <v>4364.5856683046841</v>
      </c>
      <c r="R30" s="49">
        <f>$B$5*($B$12^12)*($B$13^4)</f>
        <v>3932.4956370477353</v>
      </c>
      <c r="S30" s="49">
        <f>$B$5*($B$12^12)*($B$13^5)</f>
        <v>3543.1821278481825</v>
      </c>
      <c r="T30" s="49">
        <f>$B$5*($B$12^12)*($B$13^6)</f>
        <v>3192.4103037346581</v>
      </c>
      <c r="U30" s="49">
        <f>$B$5*($B$12^12)*($B$13^7)</f>
        <v>2876.3645727634726</v>
      </c>
      <c r="V30" s="49">
        <f>$B$5*($B$12^12)*($B$13^8)</f>
        <v>2591.6070831402931</v>
      </c>
      <c r="W30" s="49">
        <f>$B$5*($B$12^12)*($B$13^9)</f>
        <v>2335.040327287204</v>
      </c>
      <c r="X30" s="49">
        <f>$B$5*($B$12^12)*($B$13^10)</f>
        <v>2103.873448073291</v>
      </c>
      <c r="Y30" s="49">
        <f>$B$5*($B$12^12)*($B$13^11)</f>
        <v>1895.5918806979037</v>
      </c>
      <c r="Z30" s="49">
        <f>$B$5*($B$12^12)*($B$13^12)</f>
        <v>1707.9299999999996</v>
      </c>
      <c r="AA30" s="49">
        <f>$B$5*($B$12^12)*($B$13^13)</f>
        <v>1538.8464756591129</v>
      </c>
    </row>
    <row r="31" spans="1:27" x14ac:dyDescent="0.2">
      <c r="O31" s="49">
        <f>$B$5*($B$12^13)*($B$13^0)</f>
        <v>6622.80721865125</v>
      </c>
      <c r="P31" s="49">
        <f>$B$5*($B$12^13)*($B$13^1)</f>
        <v>5967.1552975773075</v>
      </c>
      <c r="Q31" s="49">
        <f>$B$5*($B$12^13)*($B$13^2)</f>
        <v>5376.4123233314285</v>
      </c>
      <c r="R31" s="49">
        <f>$B$5*($B$12^13)*($B$13^3)</f>
        <v>4844.1523689195656</v>
      </c>
      <c r="S31" s="49">
        <f>$B$5*($B$12^13)*($B$13^4)</f>
        <v>4364.5856683046841</v>
      </c>
      <c r="T31" s="49">
        <f>$B$5*($B$12^13)*($B$13^5)</f>
        <v>3932.4956370477348</v>
      </c>
      <c r="U31" s="49">
        <f>$B$5*($B$12^13)*($B$13^6)</f>
        <v>3543.182127848183</v>
      </c>
      <c r="V31" s="49">
        <f>$B$5*($B$12^13)*($B$13^7)</f>
        <v>3192.4103037346576</v>
      </c>
      <c r="W31" s="49">
        <f>$B$5*($B$12^13)*($B$13^8)</f>
        <v>2876.3645727634721</v>
      </c>
      <c r="X31" s="49">
        <f>$B$5*($B$12^13)*($B$13^9)</f>
        <v>2591.6070831402926</v>
      </c>
      <c r="Y31" s="49">
        <f>$B$5*($B$12^13)*($B$13^10)</f>
        <v>2335.040327287204</v>
      </c>
      <c r="Z31" s="49">
        <f>$B$5*($B$12^13)*($B$13^11)</f>
        <v>2103.873448073291</v>
      </c>
      <c r="AA31" s="49">
        <f>$B$5*($B$12^13)*($B$13^12)</f>
        <v>1895.5918806979037</v>
      </c>
    </row>
    <row r="32" spans="1:27" x14ac:dyDescent="0.2">
      <c r="P32" s="49">
        <f>$B$5*($B$12^14)*($B$13^0)</f>
        <v>7350.500073833693</v>
      </c>
      <c r="Q32" s="49">
        <f>$B$5*($B$12^14)*($B$13^1)</f>
        <v>6622.8072186512509</v>
      </c>
      <c r="R32" s="49">
        <f>$B$5*($B$12^14)*($B$13^2)</f>
        <v>5967.1552975773084</v>
      </c>
      <c r="S32" s="49">
        <f>$B$5*($B$12^14)*($B$13^3)</f>
        <v>5376.4123233314294</v>
      </c>
      <c r="T32" s="49">
        <f>$B$5*($B$12^14)*($B$13^4)</f>
        <v>4844.1523689195665</v>
      </c>
      <c r="U32" s="49">
        <f>$B$5*($B$12^14)*($B$13^5)</f>
        <v>4364.5856683046841</v>
      </c>
      <c r="V32" s="49">
        <f>$B$5*($B$12^14)*($B$13^6)</f>
        <v>3932.4956370477357</v>
      </c>
      <c r="W32" s="49">
        <f>$B$5*($B$12^14)*($B$13^7)</f>
        <v>3543.1821278481834</v>
      </c>
      <c r="X32" s="49">
        <f>$B$5*($B$12^14)*($B$13^8)</f>
        <v>3192.4103037346581</v>
      </c>
      <c r="Y32" s="49">
        <f>$B$5*($B$12^14)*($B$13^9)</f>
        <v>2876.3645727634726</v>
      </c>
      <c r="Z32" s="49">
        <f>$B$5*($B$12^14)*($B$13^10)</f>
        <v>2591.6070831402931</v>
      </c>
      <c r="AA32" s="49">
        <f>$B$5*($B$12^14)*($B$13^11)</f>
        <v>2335.040327287204</v>
      </c>
    </row>
    <row r="33" spans="1:27" x14ac:dyDescent="0.2">
      <c r="Q33" s="49">
        <f>$B$5*($B$12^15)*($B$13^0)</f>
        <v>8158.1494903353714</v>
      </c>
      <c r="R33" s="49">
        <f>$B$5*($B$12^15)*($B$13^1)</f>
        <v>7350.5000738336921</v>
      </c>
      <c r="S33" s="49">
        <f>$B$5*($B$12^15)*($B$13^2)</f>
        <v>6622.80721865125</v>
      </c>
      <c r="T33" s="49">
        <f>$B$5*($B$12^15)*($B$13^3)</f>
        <v>5967.1552975773075</v>
      </c>
      <c r="U33" s="49">
        <f>$B$5*($B$12^15)*($B$13^4)</f>
        <v>5376.4123233314285</v>
      </c>
      <c r="V33" s="49">
        <f>$B$5*($B$12^15)*($B$13^5)</f>
        <v>4844.1523689195656</v>
      </c>
      <c r="W33" s="49">
        <f>$B$5*($B$12^15)*($B$13^6)</f>
        <v>4364.5856683046841</v>
      </c>
      <c r="X33" s="49">
        <f>$B$5*($B$12^15)*($B$13^7)</f>
        <v>3932.4956370477353</v>
      </c>
      <c r="Y33" s="49">
        <f>$B$5*($B$12^15)*($B$13^8)</f>
        <v>3543.1821278481825</v>
      </c>
      <c r="Z33" s="49">
        <f>$B$5*($B$12^15)*($B$13^9)</f>
        <v>3192.4103037346572</v>
      </c>
      <c r="AA33" s="49">
        <f>$B$5*($B$12^15)*($B$13^10)</f>
        <v>2876.3645727634721</v>
      </c>
    </row>
    <row r="34" spans="1:27" x14ac:dyDescent="0.2">
      <c r="R34" s="49">
        <f>$B$5*($B$12^16)*($B$13^0)</f>
        <v>9054.5408391441542</v>
      </c>
      <c r="S34" s="49">
        <f>$B$5*($B$12^16)*($B$13^1)</f>
        <v>8158.1494903353723</v>
      </c>
      <c r="T34" s="49">
        <f>$B$5*($B$12^16)*($B$13^2)</f>
        <v>7350.500073833693</v>
      </c>
      <c r="U34" s="49">
        <f>$B$5*($B$12^16)*($B$13^3)</f>
        <v>6622.8072186512509</v>
      </c>
      <c r="V34" s="49">
        <f>$B$5*($B$12^16)*($B$13^4)</f>
        <v>5967.1552975773075</v>
      </c>
      <c r="W34" s="49">
        <f>$B$5*($B$12^16)*($B$13^5)</f>
        <v>5376.4123233314285</v>
      </c>
      <c r="X34" s="49">
        <f>$B$5*($B$12^16)*($B$13^6)</f>
        <v>4844.1523689195665</v>
      </c>
      <c r="Y34" s="49">
        <f>$B$5*($B$12^16)*($B$13^7)</f>
        <v>4364.5856683046841</v>
      </c>
      <c r="Z34" s="49">
        <f>$B$5*($B$12^16)*($B$13^8)</f>
        <v>3932.4956370477353</v>
      </c>
      <c r="AA34" s="49">
        <f>$B$5*($B$12^16)*($B$13^9)</f>
        <v>3543.1821278481825</v>
      </c>
    </row>
    <row r="35" spans="1:27" x14ac:dyDescent="0.2">
      <c r="S35" s="49">
        <f>$B$5*($B$12^17)*($B$13^0)</f>
        <v>10049.4247996869</v>
      </c>
      <c r="T35" s="49">
        <f>$B$5*($B$12^17)*($B$13^1)</f>
        <v>9054.5408391441542</v>
      </c>
      <c r="U35" s="49">
        <f>$B$5*($B$12^17)*($B$13^2)</f>
        <v>8158.1494903353723</v>
      </c>
      <c r="V35" s="49">
        <f>$B$5*($B$12^17)*($B$13^3)</f>
        <v>7350.500073833693</v>
      </c>
      <c r="W35" s="49">
        <f>$B$5*($B$12^17)*($B$13^4)</f>
        <v>6622.8072186512509</v>
      </c>
      <c r="X35" s="49">
        <f>$B$5*($B$12^17)*($B$13^5)</f>
        <v>5967.1552975773075</v>
      </c>
      <c r="Y35" s="49">
        <f>$B$5*($B$12^17)*($B$13^6)</f>
        <v>5376.4123233314294</v>
      </c>
      <c r="Z35" s="49">
        <f>$B$5*($B$12^17)*($B$13^7)</f>
        <v>4844.1523689195665</v>
      </c>
      <c r="AA35" s="49">
        <f>$B$5*($B$12^17)*($B$13^8)</f>
        <v>4364.5856683046841</v>
      </c>
    </row>
    <row r="36" spans="1:27" x14ac:dyDescent="0.2">
      <c r="T36" s="49">
        <f>$B$5*($B$12^18)*($B$13^0)</f>
        <v>11153.623424830435</v>
      </c>
      <c r="U36" s="49">
        <f>$B$5*($B$12^18)*($B$13^1)</f>
        <v>10049.424799686898</v>
      </c>
      <c r="V36" s="49">
        <f>$B$5*($B$12^18)*($B$13^2)</f>
        <v>9054.5408391441542</v>
      </c>
      <c r="W36" s="49">
        <f>$B$5*($B$12^18)*($B$13^3)</f>
        <v>8158.1494903353714</v>
      </c>
      <c r="X36" s="49">
        <f>$B$5*($B$12^18)*($B$13^4)</f>
        <v>7350.5000738336921</v>
      </c>
      <c r="Y36" s="49">
        <f>$B$5*($B$12^18)*($B$13^5)</f>
        <v>6622.8072186512491</v>
      </c>
      <c r="Z36" s="49">
        <f>$B$5*($B$12^18)*($B$13^6)</f>
        <v>5967.1552975773075</v>
      </c>
      <c r="AA36" s="49">
        <f>$B$5*($B$12^18)*($B$13^7)</f>
        <v>5376.4123233314285</v>
      </c>
    </row>
    <row r="37" spans="1:27" x14ac:dyDescent="0.2">
      <c r="U37" s="49">
        <f>$B$5*($B$12^19)*($B$13^0)</f>
        <v>12379.147859965295</v>
      </c>
      <c r="V37" s="49">
        <f>$B$5*($B$12^19)*($B$13^1)</f>
        <v>11153.623424830437</v>
      </c>
      <c r="W37" s="49">
        <f>$B$5*($B$12^19)*($B$13^2)</f>
        <v>10049.4247996869</v>
      </c>
      <c r="X37" s="49">
        <f>$B$5*($B$12^19)*($B$13^3)</f>
        <v>9054.5408391441561</v>
      </c>
      <c r="Y37" s="49">
        <f>$B$5*($B$12^19)*($B$13^4)</f>
        <v>8158.1494903353723</v>
      </c>
      <c r="Z37" s="49">
        <f>$B$5*($B$12^19)*($B$13^5)</f>
        <v>7350.500073833693</v>
      </c>
      <c r="AA37" s="49">
        <f>$B$5*($B$12^19)*($B$13^6)</f>
        <v>6622.8072186512509</v>
      </c>
    </row>
    <row r="38" spans="1:27" x14ac:dyDescent="0.2">
      <c r="V38" s="49">
        <f>$B$5*($B$12^20)*($B$13^0)</f>
        <v>13739.328996685486</v>
      </c>
      <c r="W38" s="49">
        <f>$B$5*($B$12^20)*($B$13^1)</f>
        <v>12379.147859965293</v>
      </c>
      <c r="X38" s="49">
        <f>$B$5*($B$12^20)*($B$13^2)</f>
        <v>11153.623424830435</v>
      </c>
      <c r="Y38" s="49">
        <f>$B$5*($B$12^20)*($B$13^3)</f>
        <v>10049.424799686898</v>
      </c>
      <c r="Z38" s="49">
        <f>$B$5*($B$12^20)*($B$13^4)</f>
        <v>9054.5408391441524</v>
      </c>
      <c r="AA38" s="49">
        <f>$B$5*($B$12^20)*($B$13^5)</f>
        <v>8158.1494903353705</v>
      </c>
    </row>
    <row r="39" spans="1:27" x14ac:dyDescent="0.2">
      <c r="W39" s="49">
        <f>$B$5*($B$12^21)*($B$13^0)</f>
        <v>15248.962482276376</v>
      </c>
      <c r="X39" s="49">
        <f>$B$5*($B$12^21)*($B$13^1)</f>
        <v>13739.328996685488</v>
      </c>
      <c r="Y39" s="49">
        <f>$B$5*($B$12^21)*($B$13^2)</f>
        <v>12379.147859965295</v>
      </c>
      <c r="Z39" s="49">
        <f>$B$5*($B$12^21)*($B$13^3)</f>
        <v>11153.623424830437</v>
      </c>
      <c r="AA39" s="49">
        <f>$B$5*($B$12^21)*($B$13^4)</f>
        <v>10049.4247996869</v>
      </c>
    </row>
    <row r="40" spans="1:27" x14ac:dyDescent="0.2">
      <c r="X40" s="49">
        <f>$B$5*($B$12^22)*($B$13^0)</f>
        <v>16924.469662380809</v>
      </c>
      <c r="Y40" s="49">
        <f>$B$5*($B$12^22)*($B$13^1)</f>
        <v>15248.962482276376</v>
      </c>
      <c r="Z40" s="49">
        <f>$B$5*($B$12^22)*($B$13^2)</f>
        <v>13739.328996685488</v>
      </c>
      <c r="AA40" s="49">
        <f>$B$5*($B$12^22)*($B$13^3)</f>
        <v>12379.147859965295</v>
      </c>
    </row>
    <row r="41" spans="1:27" x14ac:dyDescent="0.2">
      <c r="Y41" s="49">
        <f>$B$5*($B$12^23)*($B$13^0)</f>
        <v>18784.076207530201</v>
      </c>
      <c r="Z41" s="49">
        <f>$B$5*($B$12^23)*($B$13^1)</f>
        <v>16924.469662380809</v>
      </c>
      <c r="AA41" s="49">
        <f>$B$5*($B$12^23)*($B$13^2)</f>
        <v>15248.962482276374</v>
      </c>
    </row>
    <row r="42" spans="1:27" x14ac:dyDescent="0.2">
      <c r="Z42" s="49">
        <f>$B$5*($B$12^24)*($B$13^0)</f>
        <v>20848.010366586997</v>
      </c>
      <c r="AA42" s="49">
        <f>$B$5*($B$12^24)*($B$13^1)</f>
        <v>18784.076207530201</v>
      </c>
    </row>
    <row r="43" spans="1:27" x14ac:dyDescent="0.2">
      <c r="AA43" s="49">
        <f>$B$5*($B$12^25)*($B$13^0)</f>
        <v>23138.723003640687</v>
      </c>
    </row>
    <row r="45" spans="1:27" x14ac:dyDescent="0.2">
      <c r="A45" s="4" t="s">
        <v>286</v>
      </c>
    </row>
    <row r="46" spans="1:27" x14ac:dyDescent="0.2">
      <c r="B46" s="50">
        <f t="shared" ref="B46:Z46" si="0">IF(B18&lt;=Barrier,0,$B$15*($B$14*C47+(1-$B$14)*C46))</f>
        <v>127.12605636630515</v>
      </c>
      <c r="C46" s="50">
        <f t="shared" si="0"/>
        <v>117.69458131144714</v>
      </c>
      <c r="D46" s="50">
        <f t="shared" si="0"/>
        <v>99.772938842875803</v>
      </c>
      <c r="E46" s="50">
        <f t="shared" si="0"/>
        <v>73.255206266873017</v>
      </c>
      <c r="F46" s="50">
        <f t="shared" si="0"/>
        <v>39.195387185987443</v>
      </c>
      <c r="G46" s="50">
        <f t="shared" si="0"/>
        <v>0</v>
      </c>
      <c r="H46" s="50">
        <f t="shared" si="0"/>
        <v>0</v>
      </c>
      <c r="I46" s="50">
        <f t="shared" si="0"/>
        <v>0</v>
      </c>
      <c r="J46" s="50">
        <f t="shared" si="0"/>
        <v>0</v>
      </c>
      <c r="K46" s="50">
        <f t="shared" si="0"/>
        <v>0</v>
      </c>
      <c r="L46" s="50">
        <f t="shared" si="0"/>
        <v>0</v>
      </c>
      <c r="M46" s="50">
        <f t="shared" si="0"/>
        <v>0</v>
      </c>
      <c r="N46" s="50">
        <f t="shared" si="0"/>
        <v>0</v>
      </c>
      <c r="O46" s="50">
        <f t="shared" si="0"/>
        <v>0</v>
      </c>
      <c r="P46" s="50">
        <f t="shared" si="0"/>
        <v>0</v>
      </c>
      <c r="Q46" s="50">
        <f t="shared" si="0"/>
        <v>0</v>
      </c>
      <c r="R46" s="50">
        <f t="shared" si="0"/>
        <v>0</v>
      </c>
      <c r="S46" s="50">
        <f t="shared" si="0"/>
        <v>0</v>
      </c>
      <c r="T46" s="50">
        <f t="shared" si="0"/>
        <v>0</v>
      </c>
      <c r="U46" s="50">
        <f t="shared" si="0"/>
        <v>0</v>
      </c>
      <c r="V46" s="50">
        <f t="shared" si="0"/>
        <v>0</v>
      </c>
      <c r="W46" s="50">
        <f t="shared" si="0"/>
        <v>0</v>
      </c>
      <c r="X46" s="50">
        <f t="shared" si="0"/>
        <v>0</v>
      </c>
      <c r="Y46" s="50">
        <f t="shared" si="0"/>
        <v>0</v>
      </c>
      <c r="Z46" s="50">
        <f t="shared" si="0"/>
        <v>0</v>
      </c>
      <c r="AA46" s="50">
        <f t="shared" ref="AA46:AA71" si="1">IF(AA18&lt;=Barrier,0,MAX(Cap-AA18,0))</f>
        <v>0</v>
      </c>
    </row>
    <row r="47" spans="1:27" x14ac:dyDescent="0.2">
      <c r="C47" s="50">
        <f t="shared" ref="C47:Z47" si="2">IF(C19&lt;=Barrier,0,$B$15*($B$14*D48+(1-$B$14)*D47))</f>
        <v>137.77051504737719</v>
      </c>
      <c r="D47" s="50">
        <f t="shared" si="2"/>
        <v>137.56643529554236</v>
      </c>
      <c r="E47" s="50">
        <f t="shared" si="2"/>
        <v>128.96333423733827</v>
      </c>
      <c r="F47" s="50">
        <f t="shared" si="2"/>
        <v>110.59064991079239</v>
      </c>
      <c r="G47" s="50">
        <f t="shared" si="2"/>
        <v>82.031143861291881</v>
      </c>
      <c r="H47" s="50">
        <f t="shared" si="2"/>
        <v>44.26776605063823</v>
      </c>
      <c r="I47" s="50">
        <f t="shared" si="2"/>
        <v>0</v>
      </c>
      <c r="J47" s="50">
        <f t="shared" si="2"/>
        <v>0</v>
      </c>
      <c r="K47" s="50">
        <f t="shared" si="2"/>
        <v>0</v>
      </c>
      <c r="L47" s="50">
        <f t="shared" si="2"/>
        <v>0</v>
      </c>
      <c r="M47" s="50">
        <f t="shared" si="2"/>
        <v>0</v>
      </c>
      <c r="N47" s="50">
        <f t="shared" si="2"/>
        <v>0</v>
      </c>
      <c r="O47" s="50">
        <f t="shared" si="2"/>
        <v>0</v>
      </c>
      <c r="P47" s="50">
        <f t="shared" si="2"/>
        <v>0</v>
      </c>
      <c r="Q47" s="50">
        <f t="shared" si="2"/>
        <v>0</v>
      </c>
      <c r="R47" s="50">
        <f t="shared" si="2"/>
        <v>0</v>
      </c>
      <c r="S47" s="50">
        <f t="shared" si="2"/>
        <v>0</v>
      </c>
      <c r="T47" s="50">
        <f t="shared" si="2"/>
        <v>0</v>
      </c>
      <c r="U47" s="50">
        <f t="shared" si="2"/>
        <v>0</v>
      </c>
      <c r="V47" s="50">
        <f t="shared" si="2"/>
        <v>0</v>
      </c>
      <c r="W47" s="50">
        <f t="shared" si="2"/>
        <v>0</v>
      </c>
      <c r="X47" s="50">
        <f t="shared" si="2"/>
        <v>0</v>
      </c>
      <c r="Y47" s="50">
        <f t="shared" si="2"/>
        <v>0</v>
      </c>
      <c r="Z47" s="50">
        <f t="shared" si="2"/>
        <v>0</v>
      </c>
      <c r="AA47" s="50">
        <f t="shared" si="1"/>
        <v>0</v>
      </c>
    </row>
    <row r="48" spans="1:27" x14ac:dyDescent="0.2">
      <c r="D48" s="50">
        <f t="shared" ref="D48:Z48" si="3">IF(D20&lt;=Barrier,0,$B$15*($B$14*E49+(1-$B$14)*E48))</f>
        <v>138.38746297552819</v>
      </c>
      <c r="E48" s="50">
        <f t="shared" si="3"/>
        <v>147.33785011683784</v>
      </c>
      <c r="F48" s="50">
        <f t="shared" si="3"/>
        <v>149.35909762655731</v>
      </c>
      <c r="G48" s="50">
        <f t="shared" si="3"/>
        <v>142.03758299446778</v>
      </c>
      <c r="H48" s="50">
        <f t="shared" si="3"/>
        <v>123.42864797489698</v>
      </c>
      <c r="I48" s="50">
        <f t="shared" si="3"/>
        <v>92.647011447717986</v>
      </c>
      <c r="J48" s="50">
        <f t="shared" si="3"/>
        <v>50.500442428366043</v>
      </c>
      <c r="K48" s="50">
        <f t="shared" si="3"/>
        <v>0</v>
      </c>
      <c r="L48" s="50">
        <f t="shared" si="3"/>
        <v>0</v>
      </c>
      <c r="M48" s="50">
        <f t="shared" si="3"/>
        <v>0</v>
      </c>
      <c r="N48" s="50">
        <f t="shared" si="3"/>
        <v>0</v>
      </c>
      <c r="O48" s="50">
        <f t="shared" si="3"/>
        <v>0</v>
      </c>
      <c r="P48" s="50">
        <f t="shared" si="3"/>
        <v>0</v>
      </c>
      <c r="Q48" s="50">
        <f t="shared" si="3"/>
        <v>0</v>
      </c>
      <c r="R48" s="50">
        <f t="shared" si="3"/>
        <v>0</v>
      </c>
      <c r="S48" s="50">
        <f t="shared" si="3"/>
        <v>0</v>
      </c>
      <c r="T48" s="50">
        <f t="shared" si="3"/>
        <v>0</v>
      </c>
      <c r="U48" s="50">
        <f t="shared" si="3"/>
        <v>0</v>
      </c>
      <c r="V48" s="50">
        <f t="shared" si="3"/>
        <v>0</v>
      </c>
      <c r="W48" s="50">
        <f t="shared" si="3"/>
        <v>0</v>
      </c>
      <c r="X48" s="50">
        <f t="shared" si="3"/>
        <v>0</v>
      </c>
      <c r="Y48" s="50">
        <f t="shared" si="3"/>
        <v>0</v>
      </c>
      <c r="Z48" s="50">
        <f t="shared" si="3"/>
        <v>0</v>
      </c>
      <c r="AA48" s="50">
        <f t="shared" si="1"/>
        <v>0</v>
      </c>
    </row>
    <row r="49" spans="5:27" x14ac:dyDescent="0.2">
      <c r="E49" s="50">
        <f t="shared" ref="E49:Z49" si="4">IF(E21&lt;=Barrier,0,$B$15*($B$14*F50+(1-$B$14)*F49))</f>
        <v>129.02767992872378</v>
      </c>
      <c r="F49" s="50">
        <f t="shared" si="4"/>
        <v>145.55655558159742</v>
      </c>
      <c r="G49" s="50">
        <f t="shared" si="4"/>
        <v>157.7673328580583</v>
      </c>
      <c r="H49" s="50">
        <f t="shared" si="4"/>
        <v>162.72830033622199</v>
      </c>
      <c r="I49" s="50">
        <f t="shared" si="4"/>
        <v>157.33449539540823</v>
      </c>
      <c r="J49" s="50">
        <f t="shared" si="4"/>
        <v>138.85265352079185</v>
      </c>
      <c r="K49" s="50">
        <f t="shared" si="4"/>
        <v>105.69123959008084</v>
      </c>
      <c r="L49" s="50">
        <f t="shared" si="4"/>
        <v>58.302334540910074</v>
      </c>
      <c r="M49" s="50">
        <f t="shared" si="4"/>
        <v>0</v>
      </c>
      <c r="N49" s="50">
        <f t="shared" si="4"/>
        <v>0</v>
      </c>
      <c r="O49" s="50">
        <f t="shared" si="4"/>
        <v>0</v>
      </c>
      <c r="P49" s="50">
        <f t="shared" si="4"/>
        <v>0</v>
      </c>
      <c r="Q49" s="50">
        <f t="shared" si="4"/>
        <v>0</v>
      </c>
      <c r="R49" s="50">
        <f t="shared" si="4"/>
        <v>0</v>
      </c>
      <c r="S49" s="50">
        <f t="shared" si="4"/>
        <v>0</v>
      </c>
      <c r="T49" s="50">
        <f t="shared" si="4"/>
        <v>0</v>
      </c>
      <c r="U49" s="50">
        <f t="shared" si="4"/>
        <v>0</v>
      </c>
      <c r="V49" s="50">
        <f t="shared" si="4"/>
        <v>0</v>
      </c>
      <c r="W49" s="50">
        <f t="shared" si="4"/>
        <v>0</v>
      </c>
      <c r="X49" s="50">
        <f t="shared" si="4"/>
        <v>0</v>
      </c>
      <c r="Y49" s="50">
        <f t="shared" si="4"/>
        <v>0</v>
      </c>
      <c r="Z49" s="50">
        <f t="shared" si="4"/>
        <v>0</v>
      </c>
      <c r="AA49" s="50">
        <f t="shared" si="1"/>
        <v>0</v>
      </c>
    </row>
    <row r="50" spans="5:27" x14ac:dyDescent="0.2">
      <c r="F50" s="50">
        <f t="shared" ref="F50:Z50" si="5">IF(F22&lt;=Barrier,0,$B$15*($B$14*G51+(1-$B$14)*G50))</f>
        <v>111.38043668303719</v>
      </c>
      <c r="G50" s="50">
        <f t="shared" si="5"/>
        <v>132.66342975980368</v>
      </c>
      <c r="H50" s="50">
        <f t="shared" si="5"/>
        <v>152.81156648024555</v>
      </c>
      <c r="I50" s="50">
        <f t="shared" si="5"/>
        <v>169.07358687307752</v>
      </c>
      <c r="J50" s="50">
        <f t="shared" si="5"/>
        <v>177.93048127233916</v>
      </c>
      <c r="K50" s="50">
        <f t="shared" si="5"/>
        <v>175.39665753004783</v>
      </c>
      <c r="L50" s="50">
        <f t="shared" si="5"/>
        <v>157.6484530261304</v>
      </c>
      <c r="M50" s="50">
        <f t="shared" si="5"/>
        <v>122.01964403312154</v>
      </c>
      <c r="N50" s="50">
        <f t="shared" si="5"/>
        <v>68.289641801958879</v>
      </c>
      <c r="O50" s="50">
        <f t="shared" si="5"/>
        <v>0</v>
      </c>
      <c r="P50" s="50">
        <f t="shared" si="5"/>
        <v>0</v>
      </c>
      <c r="Q50" s="50">
        <f t="shared" si="5"/>
        <v>0</v>
      </c>
      <c r="R50" s="50">
        <f t="shared" si="5"/>
        <v>0</v>
      </c>
      <c r="S50" s="50">
        <f t="shared" si="5"/>
        <v>0</v>
      </c>
      <c r="T50" s="50">
        <f t="shared" si="5"/>
        <v>0</v>
      </c>
      <c r="U50" s="50">
        <f t="shared" si="5"/>
        <v>0</v>
      </c>
      <c r="V50" s="50">
        <f t="shared" si="5"/>
        <v>0</v>
      </c>
      <c r="W50" s="50">
        <f t="shared" si="5"/>
        <v>0</v>
      </c>
      <c r="X50" s="50">
        <f t="shared" si="5"/>
        <v>0</v>
      </c>
      <c r="Y50" s="50">
        <f t="shared" si="5"/>
        <v>0</v>
      </c>
      <c r="Z50" s="50">
        <f t="shared" si="5"/>
        <v>0</v>
      </c>
      <c r="AA50" s="50">
        <f t="shared" si="1"/>
        <v>0</v>
      </c>
    </row>
    <row r="51" spans="5:27" x14ac:dyDescent="0.2">
      <c r="G51" s="50">
        <f t="shared" ref="G51:Z51" si="6">IF(G23&lt;=Barrier,0,$B$15*($B$14*H52+(1-$B$14)*H51))</f>
        <v>88.500606741102089</v>
      </c>
      <c r="H51" s="50">
        <f t="shared" si="6"/>
        <v>111.08155185066111</v>
      </c>
      <c r="I51" s="50">
        <f t="shared" si="6"/>
        <v>135.5233030414646</v>
      </c>
      <c r="J51" s="50">
        <f t="shared" si="6"/>
        <v>159.903580221027</v>
      </c>
      <c r="K51" s="50">
        <f t="shared" si="6"/>
        <v>181.20187869966057</v>
      </c>
      <c r="L51" s="50">
        <f t="shared" si="6"/>
        <v>195.24468834897567</v>
      </c>
      <c r="M51" s="50">
        <f t="shared" si="6"/>
        <v>196.93577304615783</v>
      </c>
      <c r="N51" s="50">
        <f t="shared" si="6"/>
        <v>180.93549798438559</v>
      </c>
      <c r="O51" s="50">
        <f t="shared" si="6"/>
        <v>142.92185466394071</v>
      </c>
      <c r="P51" s="50">
        <f t="shared" si="6"/>
        <v>81.432080372070388</v>
      </c>
      <c r="Q51" s="50">
        <f t="shared" si="6"/>
        <v>0</v>
      </c>
      <c r="R51" s="50">
        <f t="shared" si="6"/>
        <v>0</v>
      </c>
      <c r="S51" s="50">
        <f t="shared" si="6"/>
        <v>0</v>
      </c>
      <c r="T51" s="50">
        <f t="shared" si="6"/>
        <v>0</v>
      </c>
      <c r="U51" s="50">
        <f t="shared" si="6"/>
        <v>0</v>
      </c>
      <c r="V51" s="50">
        <f t="shared" si="6"/>
        <v>0</v>
      </c>
      <c r="W51" s="50">
        <f t="shared" si="6"/>
        <v>0</v>
      </c>
      <c r="X51" s="50">
        <f t="shared" si="6"/>
        <v>0</v>
      </c>
      <c r="Y51" s="50">
        <f t="shared" si="6"/>
        <v>0</v>
      </c>
      <c r="Z51" s="50">
        <f t="shared" si="6"/>
        <v>0</v>
      </c>
      <c r="AA51" s="50">
        <f t="shared" si="1"/>
        <v>0</v>
      </c>
    </row>
    <row r="52" spans="5:27" x14ac:dyDescent="0.2">
      <c r="H52" s="50">
        <f t="shared" ref="H52:Z52" si="7">IF(H24&lt;=Barrier,0,$B$15*($B$14*I53+(1-$B$14)*I52))</f>
        <v>64.140475734212416</v>
      </c>
      <c r="I52" s="50">
        <f t="shared" si="7"/>
        <v>84.757775331213281</v>
      </c>
      <c r="J52" s="50">
        <f t="shared" si="7"/>
        <v>109.33652163973396</v>
      </c>
      <c r="K52" s="50">
        <f t="shared" si="7"/>
        <v>137.14601047166246</v>
      </c>
      <c r="L52" s="50">
        <f t="shared" si="7"/>
        <v>166.41388022436965</v>
      </c>
      <c r="M52" s="50">
        <f t="shared" si="7"/>
        <v>193.96045445960559</v>
      </c>
      <c r="N52" s="50">
        <f t="shared" si="7"/>
        <v>214.94021225500188</v>
      </c>
      <c r="O52" s="50">
        <f t="shared" si="7"/>
        <v>222.88900208293038</v>
      </c>
      <c r="P52" s="50">
        <f t="shared" si="7"/>
        <v>210.35582152340316</v>
      </c>
      <c r="Q52" s="50">
        <f t="shared" si="7"/>
        <v>170.42736861427693</v>
      </c>
      <c r="R52" s="50">
        <f t="shared" si="7"/>
        <v>99.34123819117552</v>
      </c>
      <c r="S52" s="50">
        <f t="shared" si="7"/>
        <v>0</v>
      </c>
      <c r="T52" s="50">
        <f t="shared" si="7"/>
        <v>0</v>
      </c>
      <c r="U52" s="50">
        <f t="shared" si="7"/>
        <v>0</v>
      </c>
      <c r="V52" s="50">
        <f t="shared" si="7"/>
        <v>0</v>
      </c>
      <c r="W52" s="50">
        <f t="shared" si="7"/>
        <v>0</v>
      </c>
      <c r="X52" s="50">
        <f t="shared" si="7"/>
        <v>0</v>
      </c>
      <c r="Y52" s="50">
        <f t="shared" si="7"/>
        <v>0</v>
      </c>
      <c r="Z52" s="50">
        <f t="shared" si="7"/>
        <v>0</v>
      </c>
      <c r="AA52" s="50">
        <f t="shared" si="1"/>
        <v>0</v>
      </c>
    </row>
    <row r="53" spans="5:27" x14ac:dyDescent="0.2">
      <c r="I53" s="50">
        <f t="shared" ref="I53:Z53" si="8">IF(I25&lt;=Barrier,0,$B$15*($B$14*J54+(1-$B$14)*J53))</f>
        <v>41.85099206645112</v>
      </c>
      <c r="J53" s="50">
        <f t="shared" si="8"/>
        <v>58.209295552808449</v>
      </c>
      <c r="K53" s="50">
        <f t="shared" si="8"/>
        <v>79.336866965189145</v>
      </c>
      <c r="L53" s="50">
        <f t="shared" si="8"/>
        <v>105.63633100639572</v>
      </c>
      <c r="M53" s="50">
        <f t="shared" si="8"/>
        <v>136.86424396518646</v>
      </c>
      <c r="N53" s="50">
        <f t="shared" si="8"/>
        <v>171.64761847796987</v>
      </c>
      <c r="O53" s="50">
        <f t="shared" si="8"/>
        <v>206.89138885343408</v>
      </c>
      <c r="P53" s="50">
        <f t="shared" si="8"/>
        <v>237.1885751710839</v>
      </c>
      <c r="Q53" s="50">
        <f t="shared" si="8"/>
        <v>254.48073842815617</v>
      </c>
      <c r="R53" s="50">
        <f t="shared" si="8"/>
        <v>248.40025901832948</v>
      </c>
      <c r="S53" s="50">
        <f t="shared" si="8"/>
        <v>207.90904201942723</v>
      </c>
      <c r="T53" s="50">
        <f t="shared" si="8"/>
        <v>124.89310503344917</v>
      </c>
      <c r="U53" s="50">
        <f t="shared" si="8"/>
        <v>0</v>
      </c>
      <c r="V53" s="50">
        <f t="shared" si="8"/>
        <v>0</v>
      </c>
      <c r="W53" s="50">
        <f t="shared" si="8"/>
        <v>0</v>
      </c>
      <c r="X53" s="50">
        <f t="shared" si="8"/>
        <v>0</v>
      </c>
      <c r="Y53" s="50">
        <f t="shared" si="8"/>
        <v>0</v>
      </c>
      <c r="Z53" s="50">
        <f t="shared" si="8"/>
        <v>0</v>
      </c>
      <c r="AA53" s="50">
        <f t="shared" si="1"/>
        <v>0</v>
      </c>
    </row>
    <row r="54" spans="5:27" x14ac:dyDescent="0.2">
      <c r="J54" s="50">
        <f t="shared" ref="J54:Z54" si="9">IF(J26&lt;=Barrier,0,$B$15*($B$14*K55+(1-$B$14)*K54))</f>
        <v>24.140049330995982</v>
      </c>
      <c r="K54" s="50">
        <f t="shared" si="9"/>
        <v>35.346624833644846</v>
      </c>
      <c r="L54" s="50">
        <f t="shared" si="9"/>
        <v>50.897258208552323</v>
      </c>
      <c r="M54" s="50">
        <f t="shared" si="9"/>
        <v>71.899950702913486</v>
      </c>
      <c r="N54" s="50">
        <f t="shared" si="9"/>
        <v>99.34177997379804</v>
      </c>
      <c r="O54" s="50">
        <f t="shared" si="9"/>
        <v>133.72291676478477</v>
      </c>
      <c r="P54" s="50">
        <f t="shared" si="9"/>
        <v>174.45945183934612</v>
      </c>
      <c r="Q54" s="50">
        <f t="shared" si="9"/>
        <v>219.01905035708501</v>
      </c>
      <c r="R54" s="50">
        <f t="shared" si="9"/>
        <v>261.83723773901556</v>
      </c>
      <c r="S54" s="50">
        <f t="shared" si="9"/>
        <v>293.24753479964312</v>
      </c>
      <c r="T54" s="50">
        <f t="shared" si="9"/>
        <v>298.9929159051315</v>
      </c>
      <c r="U54" s="50">
        <f t="shared" si="9"/>
        <v>261.38596916182507</v>
      </c>
      <c r="V54" s="50">
        <f t="shared" si="9"/>
        <v>163.75002278434692</v>
      </c>
      <c r="W54" s="50">
        <f t="shared" si="9"/>
        <v>0</v>
      </c>
      <c r="X54" s="50">
        <f t="shared" si="9"/>
        <v>0</v>
      </c>
      <c r="Y54" s="50">
        <f t="shared" si="9"/>
        <v>0</v>
      </c>
      <c r="Z54" s="50">
        <f t="shared" si="9"/>
        <v>0</v>
      </c>
      <c r="AA54" s="50">
        <f t="shared" si="1"/>
        <v>0</v>
      </c>
    </row>
    <row r="55" spans="5:27" x14ac:dyDescent="0.2">
      <c r="K55" s="50">
        <f t="shared" ref="K55:Z55" si="10">IF(K27&lt;=Barrier,0,$B$15*($B$14*L56+(1-$B$14)*L55))</f>
        <v>11.993848210727052</v>
      </c>
      <c r="L55" s="50">
        <f t="shared" si="10"/>
        <v>18.497428980506022</v>
      </c>
      <c r="M55" s="50">
        <f t="shared" si="10"/>
        <v>28.149769656904446</v>
      </c>
      <c r="N55" s="50">
        <f t="shared" si="10"/>
        <v>42.19385259914673</v>
      </c>
      <c r="O55" s="50">
        <f t="shared" si="10"/>
        <v>62.150317284434053</v>
      </c>
      <c r="P55" s="50">
        <f t="shared" si="10"/>
        <v>89.702429081181762</v>
      </c>
      <c r="Q55" s="50">
        <f t="shared" si="10"/>
        <v>126.38841805301692</v>
      </c>
      <c r="R55" s="50">
        <f t="shared" si="10"/>
        <v>172.9737730898301</v>
      </c>
      <c r="S55" s="50">
        <f t="shared" si="10"/>
        <v>228.34932872306112</v>
      </c>
      <c r="T55" s="50">
        <f t="shared" si="10"/>
        <v>287.82468649146188</v>
      </c>
      <c r="U55" s="50">
        <f t="shared" si="10"/>
        <v>340.84116580314827</v>
      </c>
      <c r="V55" s="50">
        <f t="shared" si="10"/>
        <v>368.55898693110976</v>
      </c>
      <c r="W55" s="50">
        <f t="shared" si="10"/>
        <v>342.7087379587058</v>
      </c>
      <c r="X55" s="50">
        <f t="shared" si="10"/>
        <v>228.84389662947103</v>
      </c>
      <c r="Y55" s="50">
        <f t="shared" si="10"/>
        <v>0</v>
      </c>
      <c r="Z55" s="50">
        <f t="shared" si="10"/>
        <v>0</v>
      </c>
      <c r="AA55" s="50">
        <f t="shared" si="1"/>
        <v>0</v>
      </c>
    </row>
    <row r="56" spans="5:27" x14ac:dyDescent="0.2">
      <c r="L56" s="50">
        <f t="shared" ref="L56:Z56" si="11">IF(L28&lt;=Barrier,0,$B$15*($B$14*M57+(1-$B$14)*M56))</f>
        <v>4.9391974807320338</v>
      </c>
      <c r="M56" s="50">
        <f t="shared" si="11"/>
        <v>8.0292083377182255</v>
      </c>
      <c r="N56" s="50">
        <f t="shared" si="11"/>
        <v>12.922127157965866</v>
      </c>
      <c r="O56" s="50">
        <f t="shared" si="11"/>
        <v>20.561845350063361</v>
      </c>
      <c r="P56" s="50">
        <f t="shared" si="11"/>
        <v>32.296092149959314</v>
      </c>
      <c r="Q56" s="50">
        <f t="shared" si="11"/>
        <v>49.971043382443192</v>
      </c>
      <c r="R56" s="50">
        <f t="shared" si="11"/>
        <v>75.971632486019644</v>
      </c>
      <c r="S56" s="50">
        <f t="shared" si="11"/>
        <v>113.10893988217585</v>
      </c>
      <c r="T56" s="50">
        <f t="shared" si="11"/>
        <v>164.17421836213003</v>
      </c>
      <c r="U56" s="50">
        <f t="shared" si="11"/>
        <v>230.86014876753913</v>
      </c>
      <c r="V56" s="50">
        <f t="shared" si="11"/>
        <v>311.60433075789655</v>
      </c>
      <c r="W56" s="50">
        <f t="shared" si="11"/>
        <v>397.79146956631882</v>
      </c>
      <c r="X56" s="50">
        <f t="shared" si="11"/>
        <v>467.80434248690148</v>
      </c>
      <c r="Y56" s="50">
        <f t="shared" si="11"/>
        <v>478.94224177741899</v>
      </c>
      <c r="Z56" s="50">
        <f t="shared" si="11"/>
        <v>358.72160861955876</v>
      </c>
      <c r="AA56" s="50">
        <f t="shared" si="1"/>
        <v>0</v>
      </c>
    </row>
    <row r="57" spans="5:27" x14ac:dyDescent="0.2">
      <c r="M57" s="50">
        <f t="shared" ref="M57:Z57" si="12">IF(M29&lt;=Barrier,0,$B$15*($B$14*N58+(1-$B$14)*N57))</f>
        <v>1.5851853340323501</v>
      </c>
      <c r="N57" s="50">
        <f t="shared" si="12"/>
        <v>2.7188492454449062</v>
      </c>
      <c r="O57" s="50">
        <f t="shared" si="12"/>
        <v>4.6317287449518014</v>
      </c>
      <c r="P57" s="50">
        <f t="shared" si="12"/>
        <v>7.8302291137943225</v>
      </c>
      <c r="Q57" s="50">
        <f t="shared" si="12"/>
        <v>13.122624947858402</v>
      </c>
      <c r="R57" s="50">
        <f t="shared" si="12"/>
        <v>21.773125122032049</v>
      </c>
      <c r="S57" s="50">
        <f t="shared" si="12"/>
        <v>35.708985997212338</v>
      </c>
      <c r="T57" s="50">
        <f t="shared" si="12"/>
        <v>57.770949761410698</v>
      </c>
      <c r="U57" s="50">
        <f t="shared" si="12"/>
        <v>91.955720665799106</v>
      </c>
      <c r="V57" s="50">
        <f t="shared" si="12"/>
        <v>143.50891068410795</v>
      </c>
      <c r="W57" s="50">
        <f t="shared" si="12"/>
        <v>218.551399676573</v>
      </c>
      <c r="X57" s="50">
        <f t="shared" si="12"/>
        <v>322.61550764674763</v>
      </c>
      <c r="Y57" s="50">
        <f t="shared" si="12"/>
        <v>457.00340718341295</v>
      </c>
      <c r="Z57" s="50">
        <f t="shared" si="12"/>
        <v>611.35584570850983</v>
      </c>
      <c r="AA57" s="50">
        <f t="shared" si="1"/>
        <v>750.76038267444756</v>
      </c>
    </row>
    <row r="58" spans="5:27" x14ac:dyDescent="0.2">
      <c r="N58" s="50">
        <f t="shared" ref="N58:Z58" si="13">IF(N30&lt;=Barrier,0,$B$15*($B$14*O59+(1-$B$14)*O58))</f>
        <v>0.35401482720013505</v>
      </c>
      <c r="O58" s="50">
        <f t="shared" si="13"/>
        <v>0.64156897939588742</v>
      </c>
      <c r="P58" s="50">
        <f t="shared" si="13"/>
        <v>1.1585810861610477</v>
      </c>
      <c r="Q58" s="50">
        <f t="shared" si="13"/>
        <v>2.0838646963687455</v>
      </c>
      <c r="R58" s="50">
        <f t="shared" si="13"/>
        <v>3.7310340829781641</v>
      </c>
      <c r="S58" s="50">
        <f t="shared" si="13"/>
        <v>6.6451870337330643</v>
      </c>
      <c r="T58" s="50">
        <f t="shared" si="13"/>
        <v>11.76338611014241</v>
      </c>
      <c r="U58" s="50">
        <f t="shared" si="13"/>
        <v>20.674492911120989</v>
      </c>
      <c r="V58" s="50">
        <f t="shared" si="13"/>
        <v>36.025329056170385</v>
      </c>
      <c r="W58" s="50">
        <f t="shared" si="13"/>
        <v>62.122472736899716</v>
      </c>
      <c r="X58" s="50">
        <f t="shared" si="13"/>
        <v>105.74586912460347</v>
      </c>
      <c r="Y58" s="50">
        <f t="shared" si="13"/>
        <v>177.0545998431094</v>
      </c>
      <c r="Z58" s="50">
        <f t="shared" si="13"/>
        <v>290.06568350114458</v>
      </c>
      <c r="AA58" s="50">
        <f t="shared" si="1"/>
        <v>461.15352434088709</v>
      </c>
    </row>
    <row r="59" spans="5:27" x14ac:dyDescent="0.2">
      <c r="O59" s="50">
        <f t="shared" ref="O59:Z59" si="14">IF(O31&lt;=Barrier,0,$B$15*($B$14*P60+(1-$B$14)*P59))</f>
        <v>4.1590461582474418E-2</v>
      </c>
      <c r="P59" s="50">
        <f t="shared" si="14"/>
        <v>7.9855613649640542E-2</v>
      </c>
      <c r="Q59" s="50">
        <f t="shared" si="14"/>
        <v>0.1533264789263073</v>
      </c>
      <c r="R59" s="50">
        <f t="shared" si="14"/>
        <v>0.29439394509048616</v>
      </c>
      <c r="S59" s="50">
        <f t="shared" si="14"/>
        <v>0.56525001756281756</v>
      </c>
      <c r="T59" s="50">
        <f t="shared" si="14"/>
        <v>1.0853062288919031</v>
      </c>
      <c r="U59" s="50">
        <f t="shared" si="14"/>
        <v>2.0838382554152908</v>
      </c>
      <c r="V59" s="50">
        <f t="shared" si="14"/>
        <v>4.0010660209384508</v>
      </c>
      <c r="W59" s="50">
        <f t="shared" si="14"/>
        <v>7.6822321801160571</v>
      </c>
      <c r="X59" s="50">
        <f t="shared" si="14"/>
        <v>14.750241800650997</v>
      </c>
      <c r="Y59" s="50">
        <f t="shared" si="14"/>
        <v>28.321147822218663</v>
      </c>
      <c r="Z59" s="50">
        <f t="shared" si="14"/>
        <v>54.377916295078023</v>
      </c>
      <c r="AA59" s="50">
        <f t="shared" si="1"/>
        <v>104.40811930209634</v>
      </c>
    </row>
    <row r="60" spans="5:27" x14ac:dyDescent="0.2">
      <c r="P60" s="50">
        <f t="shared" ref="P60:Z60" si="15">IF(P32&lt;=Barrier,0,$B$15*($B$14*Q61+(1-$B$14)*Q60))</f>
        <v>0</v>
      </c>
      <c r="Q60" s="50">
        <f t="shared" si="15"/>
        <v>0</v>
      </c>
      <c r="R60" s="50">
        <f t="shared" si="15"/>
        <v>0</v>
      </c>
      <c r="S60" s="50">
        <f t="shared" si="15"/>
        <v>0</v>
      </c>
      <c r="T60" s="50">
        <f t="shared" si="15"/>
        <v>0</v>
      </c>
      <c r="U60" s="50">
        <f t="shared" si="15"/>
        <v>0</v>
      </c>
      <c r="V60" s="50">
        <f t="shared" si="15"/>
        <v>0</v>
      </c>
      <c r="W60" s="50">
        <f t="shared" si="15"/>
        <v>0</v>
      </c>
      <c r="X60" s="50">
        <f t="shared" si="15"/>
        <v>0</v>
      </c>
      <c r="Y60" s="50">
        <f t="shared" si="15"/>
        <v>0</v>
      </c>
      <c r="Z60" s="50">
        <f t="shared" si="15"/>
        <v>0</v>
      </c>
      <c r="AA60" s="50">
        <f t="shared" si="1"/>
        <v>0</v>
      </c>
    </row>
    <row r="61" spans="5:27" x14ac:dyDescent="0.2">
      <c r="Q61" s="50">
        <f t="shared" ref="Q61:Z61" si="16">IF(Q33&lt;=Barrier,0,$B$15*($B$14*R62+(1-$B$14)*R61))</f>
        <v>0</v>
      </c>
      <c r="R61" s="50">
        <f t="shared" si="16"/>
        <v>0</v>
      </c>
      <c r="S61" s="50">
        <f t="shared" si="16"/>
        <v>0</v>
      </c>
      <c r="T61" s="50">
        <f t="shared" si="16"/>
        <v>0</v>
      </c>
      <c r="U61" s="50">
        <f t="shared" si="16"/>
        <v>0</v>
      </c>
      <c r="V61" s="50">
        <f t="shared" si="16"/>
        <v>0</v>
      </c>
      <c r="W61" s="50">
        <f t="shared" si="16"/>
        <v>0</v>
      </c>
      <c r="X61" s="50">
        <f t="shared" si="16"/>
        <v>0</v>
      </c>
      <c r="Y61" s="50">
        <f t="shared" si="16"/>
        <v>0</v>
      </c>
      <c r="Z61" s="50">
        <f t="shared" si="16"/>
        <v>0</v>
      </c>
      <c r="AA61" s="50">
        <f t="shared" si="1"/>
        <v>0</v>
      </c>
    </row>
    <row r="62" spans="5:27" x14ac:dyDescent="0.2">
      <c r="R62" s="50">
        <f t="shared" ref="R62:Z62" si="17">IF(R34&lt;=Barrier,0,$B$15*($B$14*S63+(1-$B$14)*S62))</f>
        <v>0</v>
      </c>
      <c r="S62" s="50">
        <f t="shared" si="17"/>
        <v>0</v>
      </c>
      <c r="T62" s="50">
        <f t="shared" si="17"/>
        <v>0</v>
      </c>
      <c r="U62" s="50">
        <f t="shared" si="17"/>
        <v>0</v>
      </c>
      <c r="V62" s="50">
        <f t="shared" si="17"/>
        <v>0</v>
      </c>
      <c r="W62" s="50">
        <f t="shared" si="17"/>
        <v>0</v>
      </c>
      <c r="X62" s="50">
        <f t="shared" si="17"/>
        <v>0</v>
      </c>
      <c r="Y62" s="50">
        <f t="shared" si="17"/>
        <v>0</v>
      </c>
      <c r="Z62" s="50">
        <f t="shared" si="17"/>
        <v>0</v>
      </c>
      <c r="AA62" s="50">
        <f t="shared" si="1"/>
        <v>0</v>
      </c>
    </row>
    <row r="63" spans="5:27" x14ac:dyDescent="0.2">
      <c r="S63" s="50">
        <f t="shared" ref="S63:Z63" si="18">IF(S35&lt;=Barrier,0,$B$15*($B$14*T64+(1-$B$14)*T63))</f>
        <v>0</v>
      </c>
      <c r="T63" s="50">
        <f t="shared" si="18"/>
        <v>0</v>
      </c>
      <c r="U63" s="50">
        <f t="shared" si="18"/>
        <v>0</v>
      </c>
      <c r="V63" s="50">
        <f t="shared" si="18"/>
        <v>0</v>
      </c>
      <c r="W63" s="50">
        <f t="shared" si="18"/>
        <v>0</v>
      </c>
      <c r="X63" s="50">
        <f t="shared" si="18"/>
        <v>0</v>
      </c>
      <c r="Y63" s="50">
        <f t="shared" si="18"/>
        <v>0</v>
      </c>
      <c r="Z63" s="50">
        <f t="shared" si="18"/>
        <v>0</v>
      </c>
      <c r="AA63" s="50">
        <f t="shared" si="1"/>
        <v>0</v>
      </c>
    </row>
    <row r="64" spans="5:27" x14ac:dyDescent="0.2">
      <c r="T64" s="50">
        <f t="shared" ref="T64:Z64" si="19">IF(T36&lt;=Barrier,0,$B$15*($B$14*U65+(1-$B$14)*U64))</f>
        <v>0</v>
      </c>
      <c r="U64" s="50">
        <f t="shared" si="19"/>
        <v>0</v>
      </c>
      <c r="V64" s="50">
        <f t="shared" si="19"/>
        <v>0</v>
      </c>
      <c r="W64" s="50">
        <f t="shared" si="19"/>
        <v>0</v>
      </c>
      <c r="X64" s="50">
        <f t="shared" si="19"/>
        <v>0</v>
      </c>
      <c r="Y64" s="50">
        <f t="shared" si="19"/>
        <v>0</v>
      </c>
      <c r="Z64" s="50">
        <f t="shared" si="19"/>
        <v>0</v>
      </c>
      <c r="AA64" s="50">
        <f t="shared" si="1"/>
        <v>0</v>
      </c>
    </row>
    <row r="65" spans="1:27" x14ac:dyDescent="0.2">
      <c r="U65" s="50">
        <f t="shared" ref="U65:Z65" si="20">IF(U37&lt;=Barrier,0,$B$15*($B$14*V66+(1-$B$14)*V65))</f>
        <v>0</v>
      </c>
      <c r="V65" s="50">
        <f t="shared" si="20"/>
        <v>0</v>
      </c>
      <c r="W65" s="50">
        <f t="shared" si="20"/>
        <v>0</v>
      </c>
      <c r="X65" s="50">
        <f t="shared" si="20"/>
        <v>0</v>
      </c>
      <c r="Y65" s="50">
        <f t="shared" si="20"/>
        <v>0</v>
      </c>
      <c r="Z65" s="50">
        <f t="shared" si="20"/>
        <v>0</v>
      </c>
      <c r="AA65" s="50">
        <f t="shared" si="1"/>
        <v>0</v>
      </c>
    </row>
    <row r="66" spans="1:27" x14ac:dyDescent="0.2">
      <c r="V66" s="50">
        <f>IF(V38&lt;=Barrier,0,$B$15*($B$14*W67+(1-$B$14)*W66))</f>
        <v>0</v>
      </c>
      <c r="W66" s="50">
        <f>IF(W38&lt;=Barrier,0,$B$15*($B$14*X67+(1-$B$14)*X66))</f>
        <v>0</v>
      </c>
      <c r="X66" s="50">
        <f>IF(X38&lt;=Barrier,0,$B$15*($B$14*Y67+(1-$B$14)*Y66))</f>
        <v>0</v>
      </c>
      <c r="Y66" s="50">
        <f>IF(Y38&lt;=Barrier,0,$B$15*($B$14*Z67+(1-$B$14)*Z66))</f>
        <v>0</v>
      </c>
      <c r="Z66" s="50">
        <f>IF(Z38&lt;=Barrier,0,$B$15*($B$14*AA67+(1-$B$14)*AA66))</f>
        <v>0</v>
      </c>
      <c r="AA66" s="50">
        <f t="shared" si="1"/>
        <v>0</v>
      </c>
    </row>
    <row r="67" spans="1:27" x14ac:dyDescent="0.2">
      <c r="W67" s="50">
        <f>IF(W39&lt;=Barrier,0,$B$15*($B$14*X68+(1-$B$14)*X67))</f>
        <v>0</v>
      </c>
      <c r="X67" s="50">
        <f>IF(X39&lt;=Barrier,0,$B$15*($B$14*Y68+(1-$B$14)*Y67))</f>
        <v>0</v>
      </c>
      <c r="Y67" s="50">
        <f>IF(Y39&lt;=Barrier,0,$B$15*($B$14*Z68+(1-$B$14)*Z67))</f>
        <v>0</v>
      </c>
      <c r="Z67" s="50">
        <f>IF(Z39&lt;=Barrier,0,$B$15*($B$14*AA68+(1-$B$14)*AA67))</f>
        <v>0</v>
      </c>
      <c r="AA67" s="50">
        <f t="shared" si="1"/>
        <v>0</v>
      </c>
    </row>
    <row r="68" spans="1:27" x14ac:dyDescent="0.2">
      <c r="X68" s="50">
        <f>IF(X40&lt;=Barrier,0,$B$15*($B$14*Y69+(1-$B$14)*Y68))</f>
        <v>0</v>
      </c>
      <c r="Y68" s="50">
        <f>IF(Y40&lt;=Barrier,0,$B$15*($B$14*Z69+(1-$B$14)*Z68))</f>
        <v>0</v>
      </c>
      <c r="Z68" s="50">
        <f>IF(Z40&lt;=Barrier,0,$B$15*($B$14*AA69+(1-$B$14)*AA68))</f>
        <v>0</v>
      </c>
      <c r="AA68" s="50">
        <f t="shared" si="1"/>
        <v>0</v>
      </c>
    </row>
    <row r="69" spans="1:27" x14ac:dyDescent="0.2">
      <c r="Y69" s="50">
        <f>IF(Y41&lt;=Barrier,0,$B$15*($B$14*Z70+(1-$B$14)*Z69))</f>
        <v>0</v>
      </c>
      <c r="Z69" s="50">
        <f>IF(Z41&lt;=Barrier,0,$B$15*($B$14*AA70+(1-$B$14)*AA69))</f>
        <v>0</v>
      </c>
      <c r="AA69" s="50">
        <f t="shared" si="1"/>
        <v>0</v>
      </c>
    </row>
    <row r="70" spans="1:27" x14ac:dyDescent="0.2">
      <c r="Z70" s="50">
        <f>IF(Z42&lt;=Barrier,0,$B$15*($B$14*AA71+(1-$B$14)*AA70))</f>
        <v>0</v>
      </c>
      <c r="AA70" s="50">
        <f t="shared" si="1"/>
        <v>0</v>
      </c>
    </row>
    <row r="71" spans="1:27" x14ac:dyDescent="0.2">
      <c r="AA71" s="50">
        <f t="shared" si="1"/>
        <v>0</v>
      </c>
    </row>
    <row r="73" spans="1:27" x14ac:dyDescent="0.2">
      <c r="A73" s="4" t="s">
        <v>287</v>
      </c>
    </row>
    <row r="74" spans="1:27" x14ac:dyDescent="0.2">
      <c r="B74" s="50">
        <f t="shared" ref="B74:Z74" si="21">$B$15*($B$14*C75+(1-$B$14)*C74)</f>
        <v>1425.2435670032867</v>
      </c>
      <c r="C74" s="50">
        <f t="shared" si="21"/>
        <v>1342.9416878836928</v>
      </c>
      <c r="D74" s="50">
        <f t="shared" si="21"/>
        <v>1255.7125785497255</v>
      </c>
      <c r="E74" s="50">
        <f t="shared" si="21"/>
        <v>1165.348139260009</v>
      </c>
      <c r="F74" s="50">
        <f t="shared" si="21"/>
        <v>1073.8624382145156</v>
      </c>
      <c r="G74" s="50">
        <f t="shared" si="21"/>
        <v>983.31800501707085</v>
      </c>
      <c r="H74" s="50">
        <f t="shared" si="21"/>
        <v>895.63161806080188</v>
      </c>
      <c r="I74" s="50">
        <f t="shared" si="21"/>
        <v>812.39380579447425</v>
      </c>
      <c r="J74" s="50">
        <f t="shared" si="21"/>
        <v>734.73887879520566</v>
      </c>
      <c r="K74" s="50">
        <f t="shared" si="21"/>
        <v>663.29399045307287</v>
      </c>
      <c r="L74" s="50">
        <f t="shared" si="21"/>
        <v>598.21634477153623</v>
      </c>
      <c r="M74" s="50">
        <f t="shared" si="21"/>
        <v>539.30223523499944</v>
      </c>
      <c r="N74" s="50">
        <f t="shared" si="21"/>
        <v>486.12992631749739</v>
      </c>
      <c r="O74" s="50">
        <f t="shared" si="21"/>
        <v>438.1913213136919</v>
      </c>
      <c r="P74" s="50">
        <f t="shared" si="21"/>
        <v>394.9800735971026</v>
      </c>
      <c r="Q74" s="50">
        <f t="shared" si="21"/>
        <v>356.03000550320991</v>
      </c>
      <c r="R74" s="50">
        <f t="shared" si="21"/>
        <v>320.92091042525328</v>
      </c>
      <c r="S74" s="50">
        <f t="shared" si="21"/>
        <v>289.27401948217221</v>
      </c>
      <c r="T74" s="50">
        <f t="shared" si="21"/>
        <v>260.74791523085315</v>
      </c>
      <c r="U74" s="50">
        <f t="shared" si="21"/>
        <v>235.03484833841543</v>
      </c>
      <c r="V74" s="50">
        <f t="shared" si="21"/>
        <v>211.85741747754335</v>
      </c>
      <c r="W74" s="50">
        <f t="shared" si="21"/>
        <v>190.96557662644304</v>
      </c>
      <c r="X74" s="50">
        <f t="shared" si="21"/>
        <v>172.13393748715666</v>
      </c>
      <c r="Y74" s="50">
        <f t="shared" si="21"/>
        <v>155.15933791980319</v>
      </c>
      <c r="Z74" s="50">
        <f t="shared" si="21"/>
        <v>139.85865016018664</v>
      </c>
      <c r="AA74" s="50">
        <f t="shared" ref="AA74:AA99" si="22">MIN(AA18,Cap)</f>
        <v>126.06680517507509</v>
      </c>
    </row>
    <row r="75" spans="1:27" x14ac:dyDescent="0.2">
      <c r="C75" s="50">
        <f t="shared" ref="C75:Z75" si="23">$B$15*($B$14*D76+(1-$B$14)*D75)</f>
        <v>1519.0348768071322</v>
      </c>
      <c r="D75" s="50">
        <f t="shared" si="23"/>
        <v>1441.868081061144</v>
      </c>
      <c r="E75" s="50">
        <f t="shared" si="23"/>
        <v>1357.8067497885313</v>
      </c>
      <c r="F75" s="50">
        <f t="shared" si="23"/>
        <v>1268.4057480752222</v>
      </c>
      <c r="G75" s="50">
        <f t="shared" si="23"/>
        <v>1175.632087681061</v>
      </c>
      <c r="H75" s="50">
        <f t="shared" si="23"/>
        <v>1081.7130750155836</v>
      </c>
      <c r="I75" s="50">
        <f t="shared" si="23"/>
        <v>988.92659408365068</v>
      </c>
      <c r="J75" s="50">
        <f t="shared" si="23"/>
        <v>899.36501161468811</v>
      </c>
      <c r="K75" s="50">
        <f t="shared" si="23"/>
        <v>814.718694681908</v>
      </c>
      <c r="L75" s="50">
        <f t="shared" si="23"/>
        <v>736.12884392998478</v>
      </c>
      <c r="M75" s="50">
        <f t="shared" si="23"/>
        <v>664.1465110452308</v>
      </c>
      <c r="N75" s="50">
        <f t="shared" si="23"/>
        <v>598.80506089537414</v>
      </c>
      <c r="O75" s="50">
        <f t="shared" si="23"/>
        <v>539.77568523770208</v>
      </c>
      <c r="P75" s="50">
        <f t="shared" si="23"/>
        <v>486.54692484995206</v>
      </c>
      <c r="Q75" s="50">
        <f t="shared" si="23"/>
        <v>438.56719847745006</v>
      </c>
      <c r="R75" s="50">
        <f t="shared" si="23"/>
        <v>395.31888448308632</v>
      </c>
      <c r="S75" s="50">
        <f t="shared" si="23"/>
        <v>356.33540531870636</v>
      </c>
      <c r="T75" s="50">
        <f t="shared" si="23"/>
        <v>321.1961939275364</v>
      </c>
      <c r="U75" s="50">
        <f t="shared" si="23"/>
        <v>289.52215652346712</v>
      </c>
      <c r="V75" s="50">
        <f t="shared" si="23"/>
        <v>260.97158279811345</v>
      </c>
      <c r="W75" s="50">
        <f t="shared" si="23"/>
        <v>235.23645943357113</v>
      </c>
      <c r="X75" s="50">
        <f t="shared" si="23"/>
        <v>212.03914714978754</v>
      </c>
      <c r="Y75" s="50">
        <f t="shared" si="23"/>
        <v>191.12938543740395</v>
      </c>
      <c r="Z75" s="50">
        <f t="shared" si="23"/>
        <v>172.28159266210443</v>
      </c>
      <c r="AA75" s="50">
        <f t="shared" si="22"/>
        <v>155.2924324130785</v>
      </c>
    </row>
    <row r="76" spans="1:27" x14ac:dyDescent="0.2">
      <c r="D76" s="50">
        <f t="shared" ref="D76:Z76" si="24">$B$15*($B$14*E77+(1-$B$14)*E76)</f>
        <v>1607.4974397119731</v>
      </c>
      <c r="E76" s="50">
        <f t="shared" si="24"/>
        <v>1537.6248218012897</v>
      </c>
      <c r="F76" s="50">
        <f t="shared" si="24"/>
        <v>1459.1431014530206</v>
      </c>
      <c r="G76" s="50">
        <f t="shared" si="24"/>
        <v>1373.1623503550318</v>
      </c>
      <c r="H76" s="50">
        <f t="shared" si="24"/>
        <v>1281.3714878684916</v>
      </c>
      <c r="I76" s="50">
        <f t="shared" si="24"/>
        <v>1185.9490678799966</v>
      </c>
      <c r="J76" s="50">
        <f t="shared" si="24"/>
        <v>1089.3817134247822</v>
      </c>
      <c r="K76" s="50">
        <f t="shared" si="24"/>
        <v>994.2059678818548</v>
      </c>
      <c r="L76" s="50">
        <f t="shared" si="24"/>
        <v>902.7156377206901</v>
      </c>
      <c r="M76" s="50">
        <f t="shared" si="24"/>
        <v>816.69846200848804</v>
      </c>
      <c r="N76" s="50">
        <f t="shared" si="24"/>
        <v>737.27135624495259</v>
      </c>
      <c r="O76" s="50">
        <f t="shared" si="24"/>
        <v>664.86255461660926</v>
      </c>
      <c r="P76" s="50">
        <f t="shared" si="24"/>
        <v>599.34139949150449</v>
      </c>
      <c r="Q76" s="50">
        <f t="shared" si="24"/>
        <v>540.23870069182954</v>
      </c>
      <c r="R76" s="50">
        <f t="shared" si="24"/>
        <v>486.96428108055824</v>
      </c>
      <c r="S76" s="50">
        <f t="shared" si="24"/>
        <v>438.94339806576426</v>
      </c>
      <c r="T76" s="50">
        <f t="shared" si="24"/>
        <v>395.65798599845647</v>
      </c>
      <c r="U76" s="50">
        <f t="shared" si="24"/>
        <v>356.64106710382856</v>
      </c>
      <c r="V76" s="50">
        <f t="shared" si="24"/>
        <v>321.47171356590223</v>
      </c>
      <c r="W76" s="50">
        <f t="shared" si="24"/>
        <v>289.77050641481804</v>
      </c>
      <c r="X76" s="50">
        <f t="shared" si="24"/>
        <v>261.19544222570221</v>
      </c>
      <c r="Y76" s="50">
        <f t="shared" si="24"/>
        <v>235.43824346918214</v>
      </c>
      <c r="Z76" s="50">
        <f t="shared" si="24"/>
        <v>212.22103270835458</v>
      </c>
      <c r="AA76" s="50">
        <f t="shared" si="22"/>
        <v>191.29333476230994</v>
      </c>
    </row>
    <row r="77" spans="1:27" x14ac:dyDescent="0.2">
      <c r="E77" s="50">
        <f t="shared" ref="E77:Z77" si="25">$B$15*($B$14*F78+(1-$B$14)*F77)</f>
        <v>1688.2625538431776</v>
      </c>
      <c r="F77" s="50">
        <f t="shared" si="25"/>
        <v>1627.5739022657997</v>
      </c>
      <c r="G77" s="50">
        <f t="shared" si="25"/>
        <v>1557.0415028288708</v>
      </c>
      <c r="H77" s="50">
        <f t="shared" si="25"/>
        <v>1477.1476537491337</v>
      </c>
      <c r="I77" s="50">
        <f t="shared" si="25"/>
        <v>1389.0524019994159</v>
      </c>
      <c r="J77" s="50">
        <f t="shared" si="25"/>
        <v>1294.6047399313563</v>
      </c>
      <c r="K77" s="50">
        <f t="shared" si="25"/>
        <v>1196.2439970092732</v>
      </c>
      <c r="L77" s="50">
        <f t="shared" si="25"/>
        <v>1096.7785665044667</v>
      </c>
      <c r="M77" s="50">
        <f t="shared" si="25"/>
        <v>999.06044365314995</v>
      </c>
      <c r="N77" s="50">
        <f t="shared" si="25"/>
        <v>905.61369372926083</v>
      </c>
      <c r="O77" s="50">
        <f t="shared" si="25"/>
        <v>818.30910276740588</v>
      </c>
      <c r="P77" s="50">
        <f t="shared" si="25"/>
        <v>738.18533111547333</v>
      </c>
      <c r="Q77" s="50">
        <f t="shared" si="25"/>
        <v>665.48035224344926</v>
      </c>
      <c r="R77" s="50">
        <f t="shared" si="25"/>
        <v>599.85550995970891</v>
      </c>
      <c r="S77" s="50">
        <f t="shared" si="25"/>
        <v>540.70211331707196</v>
      </c>
      <c r="T77" s="50">
        <f t="shared" si="25"/>
        <v>487.38199531614686</v>
      </c>
      <c r="U77" s="50">
        <f t="shared" si="25"/>
        <v>439.31992035520778</v>
      </c>
      <c r="V77" s="50">
        <f t="shared" si="25"/>
        <v>395.99737839251276</v>
      </c>
      <c r="W77" s="50">
        <f t="shared" si="25"/>
        <v>356.94699108329206</v>
      </c>
      <c r="X77" s="50">
        <f t="shared" si="25"/>
        <v>321.74746954290646</v>
      </c>
      <c r="Y77" s="50">
        <f t="shared" si="25"/>
        <v>290.01906933880622</v>
      </c>
      <c r="Z77" s="50">
        <f t="shared" si="25"/>
        <v>261.41949367819564</v>
      </c>
      <c r="AA77" s="50">
        <f t="shared" si="22"/>
        <v>235.64020059359549</v>
      </c>
    </row>
    <row r="78" spans="1:27" x14ac:dyDescent="0.2">
      <c r="F78" s="50">
        <f t="shared" ref="F78:Z78" si="26">$B$15*($B$14*G79+(1-$B$14)*G78)</f>
        <v>1759.2482819666227</v>
      </c>
      <c r="G78" s="50">
        <f t="shared" si="26"/>
        <v>1709.1156753559192</v>
      </c>
      <c r="H78" s="50">
        <f t="shared" si="26"/>
        <v>1648.5854220321619</v>
      </c>
      <c r="I78" s="50">
        <f t="shared" si="26"/>
        <v>1577.402445576711</v>
      </c>
      <c r="J78" s="50">
        <f t="shared" si="26"/>
        <v>1495.9791545463702</v>
      </c>
      <c r="K78" s="50">
        <f t="shared" si="26"/>
        <v>1405.5263600290707</v>
      </c>
      <c r="L78" s="50">
        <f t="shared" si="26"/>
        <v>1308.0880916355782</v>
      </c>
      <c r="M78" s="50">
        <f t="shared" si="26"/>
        <v>1206.4332575590233</v>
      </c>
      <c r="N78" s="50">
        <f t="shared" si="26"/>
        <v>1103.779467831384</v>
      </c>
      <c r="O78" s="50">
        <f t="shared" si="26"/>
        <v>1003.3700987977971</v>
      </c>
      <c r="P78" s="50">
        <f t="shared" si="26"/>
        <v>907.98832207682995</v>
      </c>
      <c r="Q78" s="50">
        <f t="shared" si="26"/>
        <v>819.54853211172167</v>
      </c>
      <c r="R78" s="50">
        <f t="shared" si="26"/>
        <v>738.91791823124811</v>
      </c>
      <c r="S78" s="50">
        <f t="shared" si="26"/>
        <v>666.05119619943662</v>
      </c>
      <c r="T78" s="50">
        <f t="shared" si="26"/>
        <v>600.37006142794064</v>
      </c>
      <c r="U78" s="50">
        <f t="shared" si="26"/>
        <v>541.16592345411971</v>
      </c>
      <c r="V78" s="50">
        <f t="shared" si="26"/>
        <v>487.80006786381159</v>
      </c>
      <c r="W78" s="50">
        <f t="shared" si="26"/>
        <v>439.69676562259116</v>
      </c>
      <c r="X78" s="50">
        <f t="shared" si="26"/>
        <v>396.33706191476875</v>
      </c>
      <c r="Y78" s="50">
        <f t="shared" si="26"/>
        <v>357.25317748200524</v>
      </c>
      <c r="Z78" s="50">
        <f t="shared" si="26"/>
        <v>322.02346206127851</v>
      </c>
      <c r="AA78" s="50">
        <f t="shared" si="22"/>
        <v>290.26784547816931</v>
      </c>
    </row>
    <row r="79" spans="1:27" x14ac:dyDescent="0.2">
      <c r="G79" s="50">
        <f t="shared" ref="G79:Z79" si="27">$B$15*($B$14*H80+(1-$B$14)*H79)</f>
        <v>1818.9310363662289</v>
      </c>
      <c r="H79" s="50">
        <f t="shared" si="27"/>
        <v>1779.9884588988</v>
      </c>
      <c r="I79" s="50">
        <f t="shared" si="27"/>
        <v>1730.8964985222181</v>
      </c>
      <c r="J79" s="50">
        <f t="shared" si="27"/>
        <v>1670.6717804167572</v>
      </c>
      <c r="K79" s="50">
        <f t="shared" si="27"/>
        <v>1598.8576240682553</v>
      </c>
      <c r="L79" s="50">
        <f t="shared" si="27"/>
        <v>1515.7600877542054</v>
      </c>
      <c r="M79" s="50">
        <f t="shared" si="27"/>
        <v>1422.6389262070973</v>
      </c>
      <c r="N79" s="50">
        <f t="shared" si="27"/>
        <v>1321.7818849227135</v>
      </c>
      <c r="O79" s="50">
        <f t="shared" si="27"/>
        <v>1216.3877017351429</v>
      </c>
      <c r="P79" s="50">
        <f t="shared" si="27"/>
        <v>1110.2106698351827</v>
      </c>
      <c r="Q79" s="50">
        <f t="shared" si="27"/>
        <v>1006.9889096279119</v>
      </c>
      <c r="R79" s="50">
        <f t="shared" si="27"/>
        <v>909.78376560973402</v>
      </c>
      <c r="S79" s="50">
        <f t="shared" si="27"/>
        <v>820.45951926686053</v>
      </c>
      <c r="T79" s="50">
        <f t="shared" si="27"/>
        <v>739.55175636962599</v>
      </c>
      <c r="U79" s="50">
        <f t="shared" si="27"/>
        <v>666.62252982100313</v>
      </c>
      <c r="V79" s="50">
        <f t="shared" si="27"/>
        <v>600.88505427448604</v>
      </c>
      <c r="W79" s="50">
        <f t="shared" si="27"/>
        <v>541.63013144395541</v>
      </c>
      <c r="X79" s="50">
        <f t="shared" si="27"/>
        <v>488.21849903090998</v>
      </c>
      <c r="Y79" s="50">
        <f t="shared" si="27"/>
        <v>440.07393414496261</v>
      </c>
      <c r="Z79" s="50">
        <f t="shared" si="27"/>
        <v>396.67703681495192</v>
      </c>
      <c r="AA79" s="50">
        <f t="shared" si="22"/>
        <v>357.55962652506918</v>
      </c>
    </row>
    <row r="80" spans="1:27" x14ac:dyDescent="0.2">
      <c r="H80" s="50">
        <f t="shared" ref="H80:Z80" si="28">$B$15*($B$14*I81+(1-$B$14)*I80)</f>
        <v>1866.5873999491616</v>
      </c>
      <c r="I80" s="50">
        <f t="shared" si="28"/>
        <v>1838.5962826094942</v>
      </c>
      <c r="J80" s="50">
        <f t="shared" si="28"/>
        <v>1801.4986125467426</v>
      </c>
      <c r="K80" s="50">
        <f t="shared" si="28"/>
        <v>1753.7340949073823</v>
      </c>
      <c r="L80" s="50">
        <f t="shared" si="28"/>
        <v>1694.0133454957945</v>
      </c>
      <c r="M80" s="50">
        <f t="shared" si="28"/>
        <v>1621.6037564309315</v>
      </c>
      <c r="N80" s="50">
        <f t="shared" si="28"/>
        <v>1536.6481653027884</v>
      </c>
      <c r="O80" s="50">
        <f t="shared" si="28"/>
        <v>1440.4478739859908</v>
      </c>
      <c r="P80" s="50">
        <f t="shared" si="28"/>
        <v>1335.60521657412</v>
      </c>
      <c r="Q80" s="50">
        <f t="shared" si="28"/>
        <v>1225.9028650293524</v>
      </c>
      <c r="R80" s="50">
        <f t="shared" si="28"/>
        <v>1115.8273389064416</v>
      </c>
      <c r="S80" s="50">
        <f t="shared" si="28"/>
        <v>1009.7535641944537</v>
      </c>
      <c r="T80" s="50">
        <f t="shared" si="28"/>
        <v>910.99945764874667</v>
      </c>
      <c r="U80" s="50">
        <f t="shared" si="28"/>
        <v>821.16330316690642</v>
      </c>
      <c r="V80" s="50">
        <f t="shared" si="28"/>
        <v>740.18613820951089</v>
      </c>
      <c r="W80" s="50">
        <f t="shared" si="28"/>
        <v>667.19435352818016</v>
      </c>
      <c r="X80" s="50">
        <f t="shared" si="28"/>
        <v>601.40048887795615</v>
      </c>
      <c r="Y80" s="50">
        <f t="shared" si="28"/>
        <v>542.09473762785422</v>
      </c>
      <c r="Z80" s="50">
        <f t="shared" si="28"/>
        <v>488.63728912506303</v>
      </c>
      <c r="AA80" s="50">
        <f t="shared" si="22"/>
        <v>440.45142619960757</v>
      </c>
    </row>
    <row r="81" spans="9:27" x14ac:dyDescent="0.2">
      <c r="I81" s="50">
        <f t="shared" ref="I81:Z81" si="29">$B$15*($B$14*J82+(1-$B$14)*J81)</f>
        <v>1902.4429794006712</v>
      </c>
      <c r="J81" s="50">
        <f t="shared" si="29"/>
        <v>1884.2979815208546</v>
      </c>
      <c r="K81" s="50">
        <f t="shared" si="29"/>
        <v>1858.7210981345709</v>
      </c>
      <c r="L81" s="50">
        <f t="shared" si="29"/>
        <v>1823.8522701471284</v>
      </c>
      <c r="M81" s="50">
        <f t="shared" si="29"/>
        <v>1777.7915272758621</v>
      </c>
      <c r="N81" s="50">
        <f t="shared" si="29"/>
        <v>1718.8499159912371</v>
      </c>
      <c r="O81" s="50">
        <f t="shared" si="29"/>
        <v>1645.9079405393238</v>
      </c>
      <c r="P81" s="50">
        <f t="shared" si="29"/>
        <v>1558.8524855961532</v>
      </c>
      <c r="Q81" s="50">
        <f t="shared" si="29"/>
        <v>1459.0067520275252</v>
      </c>
      <c r="R81" s="50">
        <f t="shared" si="29"/>
        <v>1349.3970394964781</v>
      </c>
      <c r="S81" s="50">
        <f t="shared" si="29"/>
        <v>1234.6443530094195</v>
      </c>
      <c r="T81" s="50">
        <f t="shared" si="29"/>
        <v>1120.2883008302031</v>
      </c>
      <c r="U81" s="50">
        <f t="shared" si="29"/>
        <v>1011.5307243651748</v>
      </c>
      <c r="V81" s="50">
        <f t="shared" si="29"/>
        <v>911.78090601540919</v>
      </c>
      <c r="W81" s="50">
        <f t="shared" si="29"/>
        <v>821.86769076739881</v>
      </c>
      <c r="X81" s="50">
        <f t="shared" si="29"/>
        <v>740.82106421728577</v>
      </c>
      <c r="Y81" s="50">
        <f t="shared" si="29"/>
        <v>667.76666774135947</v>
      </c>
      <c r="Z81" s="50">
        <f t="shared" si="29"/>
        <v>601.9163656172866</v>
      </c>
      <c r="AA81" s="50">
        <f t="shared" si="22"/>
        <v>542.5597423473838</v>
      </c>
    </row>
    <row r="82" spans="9:27" x14ac:dyDescent="0.2">
      <c r="J82" s="50">
        <f t="shared" ref="J82:Z82" si="30">$B$15*($B$14*K83+(1-$B$14)*K82)</f>
        <v>1927.6688207008274</v>
      </c>
      <c r="K82" s="50">
        <f t="shared" si="30"/>
        <v>1917.5727252888857</v>
      </c>
      <c r="L82" s="50">
        <f t="shared" si="30"/>
        <v>1902.0509541383624</v>
      </c>
      <c r="M82" s="50">
        <f t="shared" si="30"/>
        <v>1879.2816257356403</v>
      </c>
      <c r="N82" s="50">
        <f t="shared" si="30"/>
        <v>1847.1293181133356</v>
      </c>
      <c r="O82" s="50">
        <f t="shared" si="30"/>
        <v>1803.2795245397708</v>
      </c>
      <c r="P82" s="50">
        <f t="shared" si="30"/>
        <v>1745.5125748354556</v>
      </c>
      <c r="Q82" s="50">
        <f t="shared" si="30"/>
        <v>1672.1494249441632</v>
      </c>
      <c r="R82" s="50">
        <f t="shared" si="30"/>
        <v>1582.6606630186484</v>
      </c>
      <c r="S82" s="50">
        <f t="shared" si="30"/>
        <v>1478.3430031247201</v>
      </c>
      <c r="T82" s="50">
        <f t="shared" si="30"/>
        <v>1362.8293917963385</v>
      </c>
      <c r="U82" s="50">
        <f t="shared" si="30"/>
        <v>1242.0434702761006</v>
      </c>
      <c r="V82" s="50">
        <f t="shared" si="30"/>
        <v>1123.1558896594288</v>
      </c>
      <c r="W82" s="50">
        <f t="shared" si="30"/>
        <v>1012.3984076834769</v>
      </c>
      <c r="X82" s="50">
        <f t="shared" si="30"/>
        <v>912.56302470250341</v>
      </c>
      <c r="Y82" s="50">
        <f t="shared" si="30"/>
        <v>822.57268258618683</v>
      </c>
      <c r="Z82" s="50">
        <f t="shared" si="30"/>
        <v>741.45653485973367</v>
      </c>
      <c r="AA82" s="50">
        <f t="shared" si="22"/>
        <v>668.33947288129332</v>
      </c>
    </row>
    <row r="83" spans="9:27" x14ac:dyDescent="0.2">
      <c r="K83" s="50">
        <f t="shared" ref="K83:Z83" si="31">$B$15*($B$14*L84+(1-$B$14)*L83)</f>
        <v>1944.1934779709622</v>
      </c>
      <c r="L83" s="50">
        <f t="shared" si="31"/>
        <v>1939.9825357646318</v>
      </c>
      <c r="M83" s="50">
        <f t="shared" si="31"/>
        <v>1932.3162581566539</v>
      </c>
      <c r="N83" s="50">
        <f t="shared" si="31"/>
        <v>1919.7093102791573</v>
      </c>
      <c r="O83" s="50">
        <f t="shared" si="31"/>
        <v>1900.2153604138539</v>
      </c>
      <c r="P83" s="50">
        <f t="shared" si="31"/>
        <v>1871.4099011943397</v>
      </c>
      <c r="Q83" s="50">
        <f t="shared" si="31"/>
        <v>1830.4776164679226</v>
      </c>
      <c r="R83" s="50">
        <f t="shared" si="31"/>
        <v>1774.4815390652861</v>
      </c>
      <c r="S83" s="50">
        <f t="shared" si="31"/>
        <v>1700.9002382884403</v>
      </c>
      <c r="T83" s="50">
        <f t="shared" si="31"/>
        <v>1608.4876150473085</v>
      </c>
      <c r="U83" s="50">
        <f t="shared" si="31"/>
        <v>1498.3901291882603</v>
      </c>
      <c r="V83" s="50">
        <f t="shared" si="31"/>
        <v>1375.1891257027319</v>
      </c>
      <c r="W83" s="50">
        <f t="shared" si="31"/>
        <v>1247.0991953984919</v>
      </c>
      <c r="X83" s="50">
        <f t="shared" si="31"/>
        <v>1124.1193241907149</v>
      </c>
      <c r="Y83" s="50">
        <f t="shared" si="31"/>
        <v>1013.2668352938927</v>
      </c>
      <c r="Z83" s="50">
        <f t="shared" si="31"/>
        <v>913.34581428502497</v>
      </c>
      <c r="AA83" s="50">
        <f t="shared" si="22"/>
        <v>823.27827914156467</v>
      </c>
    </row>
    <row r="84" spans="9:27" x14ac:dyDescent="0.2">
      <c r="L84" s="50">
        <f t="shared" ref="L84:Z84" si="32">$B$15*($B$14*M85+(1-$B$14)*M84)</f>
        <v>1954.3505529646661</v>
      </c>
      <c r="M84" s="50">
        <f t="shared" si="32"/>
        <v>1953.8939171110669</v>
      </c>
      <c r="N84" s="50">
        <f t="shared" si="32"/>
        <v>1951.5910875779246</v>
      </c>
      <c r="O84" s="50">
        <f t="shared" si="32"/>
        <v>1946.4549693702329</v>
      </c>
      <c r="P84" s="50">
        <f t="shared" si="32"/>
        <v>1937.0548757349052</v>
      </c>
      <c r="Q84" s="50">
        <f t="shared" si="32"/>
        <v>1921.3853439343845</v>
      </c>
      <c r="R84" s="50">
        <f t="shared" si="32"/>
        <v>1896.7555976341366</v>
      </c>
      <c r="S84" s="50">
        <f t="shared" si="32"/>
        <v>1859.7673192306313</v>
      </c>
      <c r="T84" s="50">
        <f t="shared" si="32"/>
        <v>1806.5017286745433</v>
      </c>
      <c r="U84" s="50">
        <f t="shared" si="32"/>
        <v>1733.1012358752266</v>
      </c>
      <c r="V84" s="50">
        <f t="shared" si="32"/>
        <v>1636.9715104203124</v>
      </c>
      <c r="W84" s="50">
        <f t="shared" si="32"/>
        <v>1518.7467267237091</v>
      </c>
      <c r="X84" s="50">
        <f t="shared" si="32"/>
        <v>1384.7199818674876</v>
      </c>
      <c r="Y84" s="50">
        <f t="shared" si="32"/>
        <v>1248.1689475494159</v>
      </c>
      <c r="Z84" s="50">
        <f t="shared" si="32"/>
        <v>1125.083585148773</v>
      </c>
      <c r="AA84" s="50">
        <f t="shared" si="22"/>
        <v>1014.13600783487</v>
      </c>
    </row>
    <row r="85" spans="9:27" x14ac:dyDescent="0.2">
      <c r="M85" s="50">
        <f t="shared" ref="M85:Z85" si="33">$B$15*($B$14*N86+(1-$B$14)*N85)</f>
        <v>1960.4444654844197</v>
      </c>
      <c r="N85" s="50">
        <f t="shared" si="33"/>
        <v>1961.9988991368714</v>
      </c>
      <c r="O85" s="50">
        <f t="shared" si="33"/>
        <v>1962.7778000551091</v>
      </c>
      <c r="P85" s="50">
        <f t="shared" si="33"/>
        <v>1962.2747680036209</v>
      </c>
      <c r="Q85" s="50">
        <f t="shared" si="33"/>
        <v>1959.6815334391631</v>
      </c>
      <c r="R85" s="50">
        <f t="shared" si="33"/>
        <v>1953.7338925464123</v>
      </c>
      <c r="S85" s="50">
        <f t="shared" si="33"/>
        <v>1942.5045940309683</v>
      </c>
      <c r="T85" s="50">
        <f t="shared" si="33"/>
        <v>1923.1529007782574</v>
      </c>
      <c r="U85" s="50">
        <f t="shared" si="33"/>
        <v>1891.6821136174965</v>
      </c>
      <c r="V85" s="50">
        <f t="shared" si="33"/>
        <v>1842.8466256623044</v>
      </c>
      <c r="W85" s="50">
        <f t="shared" si="33"/>
        <v>1770.5255621467652</v>
      </c>
      <c r="X85" s="50">
        <f t="shared" si="33"/>
        <v>1669.1866081686239</v>
      </c>
      <c r="Y85" s="50">
        <f t="shared" si="33"/>
        <v>1537.5275962473877</v>
      </c>
      <c r="Z85" s="50">
        <f t="shared" si="33"/>
        <v>1385.9077840764019</v>
      </c>
      <c r="AA85" s="50">
        <f t="shared" si="22"/>
        <v>1249.2396173255524</v>
      </c>
    </row>
    <row r="86" spans="9:27" x14ac:dyDescent="0.2">
      <c r="N86" s="50">
        <f t="shared" ref="N86:Z86" si="34">$B$15*($B$14*O87+(1-$B$14)*O86)</f>
        <v>1964.3637335551161</v>
      </c>
      <c r="O86" s="50">
        <f t="shared" si="34"/>
        <v>1966.7679598206651</v>
      </c>
      <c r="P86" s="50">
        <f t="shared" si="34"/>
        <v>1968.9464160312543</v>
      </c>
      <c r="Q86" s="50">
        <f t="shared" si="34"/>
        <v>1970.7202936906526</v>
      </c>
      <c r="R86" s="50">
        <f t="shared" si="34"/>
        <v>1971.7759835854661</v>
      </c>
      <c r="S86" s="50">
        <f t="shared" si="34"/>
        <v>1971.5683929944473</v>
      </c>
      <c r="T86" s="50">
        <f t="shared" si="34"/>
        <v>1969.1604644295255</v>
      </c>
      <c r="U86" s="50">
        <f t="shared" si="34"/>
        <v>1962.9633413721745</v>
      </c>
      <c r="V86" s="50">
        <f t="shared" si="34"/>
        <v>1950.330207290242</v>
      </c>
      <c r="W86" s="50">
        <f t="shared" si="34"/>
        <v>1926.9544890864383</v>
      </c>
      <c r="X86" s="50">
        <f t="shared" si="34"/>
        <v>1886.0562466907681</v>
      </c>
      <c r="Y86" s="50">
        <f t="shared" si="34"/>
        <v>1817.4764035876915</v>
      </c>
      <c r="Z86" s="50">
        <f t="shared" si="34"/>
        <v>1707.1979462837674</v>
      </c>
      <c r="AA86" s="50">
        <f t="shared" si="22"/>
        <v>1538.8464756591129</v>
      </c>
    </row>
    <row r="87" spans="9:27" x14ac:dyDescent="0.2">
      <c r="O87" s="50">
        <f t="shared" ref="O87:Z87" si="35">$B$15*($B$14*P88+(1-$B$14)*P87)</f>
        <v>1967.3679383384781</v>
      </c>
      <c r="P87" s="50">
        <f t="shared" si="35"/>
        <v>1970.0251415037653</v>
      </c>
      <c r="Q87" s="50">
        <f t="shared" si="35"/>
        <v>1972.6508319080949</v>
      </c>
      <c r="R87" s="50">
        <f t="shared" si="35"/>
        <v>1975.2126237233538</v>
      </c>
      <c r="S87" s="50">
        <f t="shared" si="35"/>
        <v>1977.6483300106174</v>
      </c>
      <c r="T87" s="50">
        <f t="shared" si="35"/>
        <v>1979.8385443107754</v>
      </c>
      <c r="U87" s="50">
        <f t="shared" si="35"/>
        <v>1981.5539960278797</v>
      </c>
      <c r="V87" s="50">
        <f t="shared" si="35"/>
        <v>1982.3544703254736</v>
      </c>
      <c r="W87" s="50">
        <f t="shared" si="35"/>
        <v>1981.3947296432218</v>
      </c>
      <c r="X87" s="50">
        <f t="shared" si="35"/>
        <v>1977.0518740147204</v>
      </c>
      <c r="Y87" s="50">
        <f t="shared" si="35"/>
        <v>1966.2098556085821</v>
      </c>
      <c r="Z87" s="50">
        <f t="shared" si="35"/>
        <v>1942.885713489834</v>
      </c>
      <c r="AA87" s="50">
        <f t="shared" si="22"/>
        <v>1895.5918806979037</v>
      </c>
    </row>
    <row r="88" spans="9:27" x14ac:dyDescent="0.2">
      <c r="P88" s="50">
        <f t="shared" ref="P88:Z88" si="36">$B$15*($B$14*Q89+(1-$B$14)*Q88)</f>
        <v>1970.1049971174145</v>
      </c>
      <c r="Q88" s="50">
        <f t="shared" si="36"/>
        <v>1972.8041583870211</v>
      </c>
      <c r="R88" s="50">
        <f t="shared" si="36"/>
        <v>1975.507017668444</v>
      </c>
      <c r="S88" s="50">
        <f t="shared" si="36"/>
        <v>1978.2135800281801</v>
      </c>
      <c r="T88" s="50">
        <f t="shared" si="36"/>
        <v>1980.9238505396675</v>
      </c>
      <c r="U88" s="50">
        <f t="shared" si="36"/>
        <v>1983.637834283295</v>
      </c>
      <c r="V88" s="50">
        <f t="shared" si="36"/>
        <v>1986.355536346412</v>
      </c>
      <c r="W88" s="50">
        <f t="shared" si="36"/>
        <v>1989.0769618233378</v>
      </c>
      <c r="X88" s="50">
        <f t="shared" si="36"/>
        <v>1991.8021158153713</v>
      </c>
      <c r="Y88" s="50">
        <f t="shared" si="36"/>
        <v>1994.5310034308004</v>
      </c>
      <c r="Z88" s="50">
        <f t="shared" si="36"/>
        <v>1997.2636297849117</v>
      </c>
      <c r="AA88" s="50">
        <f t="shared" si="22"/>
        <v>2000</v>
      </c>
    </row>
    <row r="89" spans="9:27" x14ac:dyDescent="0.2">
      <c r="Q89" s="50">
        <f t="shared" ref="Q89:Z89" si="37">$B$15*($B$14*R90+(1-$B$14)*R89)</f>
        <v>1972.8041583870211</v>
      </c>
      <c r="R89" s="50">
        <f t="shared" si="37"/>
        <v>1975.507017668444</v>
      </c>
      <c r="S89" s="50">
        <f t="shared" si="37"/>
        <v>1978.2135800281801</v>
      </c>
      <c r="T89" s="50">
        <f t="shared" si="37"/>
        <v>1980.9238505396675</v>
      </c>
      <c r="U89" s="50">
        <f t="shared" si="37"/>
        <v>1983.637834283295</v>
      </c>
      <c r="V89" s="50">
        <f t="shared" si="37"/>
        <v>1986.355536346412</v>
      </c>
      <c r="W89" s="50">
        <f t="shared" si="37"/>
        <v>1989.0769618233378</v>
      </c>
      <c r="X89" s="50">
        <f t="shared" si="37"/>
        <v>1991.8021158153713</v>
      </c>
      <c r="Y89" s="50">
        <f t="shared" si="37"/>
        <v>1994.5310034308004</v>
      </c>
      <c r="Z89" s="50">
        <f t="shared" si="37"/>
        <v>1997.2636297849117</v>
      </c>
      <c r="AA89" s="50">
        <f t="shared" si="22"/>
        <v>2000</v>
      </c>
    </row>
    <row r="90" spans="9:27" x14ac:dyDescent="0.2">
      <c r="R90" s="50">
        <f t="shared" ref="R90:Z90" si="38">$B$15*($B$14*S91+(1-$B$14)*S90)</f>
        <v>1975.507017668444</v>
      </c>
      <c r="S90" s="50">
        <f t="shared" si="38"/>
        <v>1978.2135800281801</v>
      </c>
      <c r="T90" s="50">
        <f t="shared" si="38"/>
        <v>1980.9238505396675</v>
      </c>
      <c r="U90" s="50">
        <f t="shared" si="38"/>
        <v>1983.637834283295</v>
      </c>
      <c r="V90" s="50">
        <f t="shared" si="38"/>
        <v>1986.355536346412</v>
      </c>
      <c r="W90" s="50">
        <f t="shared" si="38"/>
        <v>1989.0769618233378</v>
      </c>
      <c r="X90" s="50">
        <f t="shared" si="38"/>
        <v>1991.8021158153713</v>
      </c>
      <c r="Y90" s="50">
        <f t="shared" si="38"/>
        <v>1994.5310034308004</v>
      </c>
      <c r="Z90" s="50">
        <f t="shared" si="38"/>
        <v>1997.2636297849117</v>
      </c>
      <c r="AA90" s="50">
        <f t="shared" si="22"/>
        <v>2000</v>
      </c>
    </row>
    <row r="91" spans="9:27" x14ac:dyDescent="0.2">
      <c r="S91" s="50">
        <f t="shared" ref="S91:Z91" si="39">$B$15*($B$14*T92+(1-$B$14)*T91)</f>
        <v>1978.2135800281801</v>
      </c>
      <c r="T91" s="50">
        <f t="shared" si="39"/>
        <v>1980.9238505396675</v>
      </c>
      <c r="U91" s="50">
        <f t="shared" si="39"/>
        <v>1983.637834283295</v>
      </c>
      <c r="V91" s="50">
        <f t="shared" si="39"/>
        <v>1986.355536346412</v>
      </c>
      <c r="W91" s="50">
        <f t="shared" si="39"/>
        <v>1989.0769618233378</v>
      </c>
      <c r="X91" s="50">
        <f t="shared" si="39"/>
        <v>1991.8021158153713</v>
      </c>
      <c r="Y91" s="50">
        <f t="shared" si="39"/>
        <v>1994.5310034308004</v>
      </c>
      <c r="Z91" s="50">
        <f t="shared" si="39"/>
        <v>1997.2636297849117</v>
      </c>
      <c r="AA91" s="50">
        <f t="shared" si="22"/>
        <v>2000</v>
      </c>
    </row>
    <row r="92" spans="9:27" x14ac:dyDescent="0.2">
      <c r="T92" s="50">
        <f t="shared" ref="T92:Z92" si="40">$B$15*($B$14*U93+(1-$B$14)*U92)</f>
        <v>1980.9238505396675</v>
      </c>
      <c r="U92" s="50">
        <f t="shared" si="40"/>
        <v>1983.637834283295</v>
      </c>
      <c r="V92" s="50">
        <f t="shared" si="40"/>
        <v>1986.355536346412</v>
      </c>
      <c r="W92" s="50">
        <f t="shared" si="40"/>
        <v>1989.0769618233378</v>
      </c>
      <c r="X92" s="50">
        <f t="shared" si="40"/>
        <v>1991.8021158153713</v>
      </c>
      <c r="Y92" s="50">
        <f t="shared" si="40"/>
        <v>1994.5310034308004</v>
      </c>
      <c r="Z92" s="50">
        <f t="shared" si="40"/>
        <v>1997.2636297849117</v>
      </c>
      <c r="AA92" s="50">
        <f t="shared" si="22"/>
        <v>2000</v>
      </c>
    </row>
    <row r="93" spans="9:27" x14ac:dyDescent="0.2">
      <c r="U93" s="50">
        <f t="shared" ref="U93:Z93" si="41">$B$15*($B$14*V94+(1-$B$14)*V93)</f>
        <v>1983.637834283295</v>
      </c>
      <c r="V93" s="50">
        <f t="shared" si="41"/>
        <v>1986.355536346412</v>
      </c>
      <c r="W93" s="50">
        <f t="shared" si="41"/>
        <v>1989.0769618233378</v>
      </c>
      <c r="X93" s="50">
        <f t="shared" si="41"/>
        <v>1991.8021158153713</v>
      </c>
      <c r="Y93" s="50">
        <f t="shared" si="41"/>
        <v>1994.5310034308004</v>
      </c>
      <c r="Z93" s="50">
        <f t="shared" si="41"/>
        <v>1997.2636297849117</v>
      </c>
      <c r="AA93" s="50">
        <f t="shared" si="22"/>
        <v>2000</v>
      </c>
    </row>
    <row r="94" spans="9:27" x14ac:dyDescent="0.2">
      <c r="V94" s="50">
        <f>$B$15*($B$14*W95+(1-$B$14)*W94)</f>
        <v>1986.355536346412</v>
      </c>
      <c r="W94" s="50">
        <f>$B$15*($B$14*X95+(1-$B$14)*X94)</f>
        <v>1989.0769618233378</v>
      </c>
      <c r="X94" s="50">
        <f>$B$15*($B$14*Y95+(1-$B$14)*Y94)</f>
        <v>1991.8021158153713</v>
      </c>
      <c r="Y94" s="50">
        <f>$B$15*($B$14*Z95+(1-$B$14)*Z94)</f>
        <v>1994.5310034308004</v>
      </c>
      <c r="Z94" s="50">
        <f>$B$15*($B$14*AA95+(1-$B$14)*AA94)</f>
        <v>1997.2636297849117</v>
      </c>
      <c r="AA94" s="50">
        <f t="shared" si="22"/>
        <v>2000</v>
      </c>
    </row>
    <row r="95" spans="9:27" x14ac:dyDescent="0.2">
      <c r="W95" s="50">
        <f>$B$15*($B$14*X96+(1-$B$14)*X95)</f>
        <v>1989.0769618233378</v>
      </c>
      <c r="X95" s="50">
        <f>$B$15*($B$14*Y96+(1-$B$14)*Y95)</f>
        <v>1991.8021158153713</v>
      </c>
      <c r="Y95" s="50">
        <f>$B$15*($B$14*Z96+(1-$B$14)*Z95)</f>
        <v>1994.5310034308004</v>
      </c>
      <c r="Z95" s="50">
        <f>$B$15*($B$14*AA96+(1-$B$14)*AA95)</f>
        <v>1997.2636297849117</v>
      </c>
      <c r="AA95" s="50">
        <f t="shared" si="22"/>
        <v>2000</v>
      </c>
    </row>
    <row r="96" spans="9:27" x14ac:dyDescent="0.2">
      <c r="X96" s="50">
        <f>$B$15*($B$14*Y97+(1-$B$14)*Y96)</f>
        <v>1991.8021158153713</v>
      </c>
      <c r="Y96" s="50">
        <f>$B$15*($B$14*Z97+(1-$B$14)*Z96)</f>
        <v>1994.5310034308004</v>
      </c>
      <c r="Z96" s="50">
        <f>$B$15*($B$14*AA97+(1-$B$14)*AA96)</f>
        <v>1997.2636297849117</v>
      </c>
      <c r="AA96" s="50">
        <f t="shared" si="22"/>
        <v>2000</v>
      </c>
    </row>
    <row r="97" spans="1:27" x14ac:dyDescent="0.2">
      <c r="Y97" s="50">
        <f>$B$15*($B$14*Z98+(1-$B$14)*Z97)</f>
        <v>1994.5310034308004</v>
      </c>
      <c r="Z97" s="50">
        <f>$B$15*($B$14*AA98+(1-$B$14)*AA97)</f>
        <v>1997.2636297849117</v>
      </c>
      <c r="AA97" s="50">
        <f t="shared" si="22"/>
        <v>2000</v>
      </c>
    </row>
    <row r="98" spans="1:27" x14ac:dyDescent="0.2">
      <c r="Z98" s="50">
        <f>$B$15*($B$14*AA99+(1-$B$14)*AA98)</f>
        <v>1997.2636297849117</v>
      </c>
      <c r="AA98" s="50">
        <f t="shared" si="22"/>
        <v>2000</v>
      </c>
    </row>
    <row r="99" spans="1:27" x14ac:dyDescent="0.2">
      <c r="AA99" s="50">
        <f t="shared" si="22"/>
        <v>2000</v>
      </c>
    </row>
    <row r="102" spans="1:27" x14ac:dyDescent="0.2">
      <c r="A102" s="4" t="s">
        <v>288</v>
      </c>
    </row>
    <row r="103" spans="1:27" x14ac:dyDescent="0.2">
      <c r="A103" s="4" t="s">
        <v>289</v>
      </c>
      <c r="B103" s="32">
        <f>B46</f>
        <v>127.12605636630515</v>
      </c>
    </row>
    <row r="104" spans="1:27" x14ac:dyDescent="0.2">
      <c r="A104" s="4" t="s">
        <v>290</v>
      </c>
      <c r="B104" s="32">
        <f>B74</f>
        <v>1425.2435670032867</v>
      </c>
    </row>
    <row r="105" spans="1:27" x14ac:dyDescent="0.2">
      <c r="A105" s="4" t="s">
        <v>291</v>
      </c>
      <c r="B105" s="32">
        <f>B46+B74</f>
        <v>1552.3696233695919</v>
      </c>
    </row>
    <row r="106" spans="1:27" x14ac:dyDescent="0.2">
      <c r="A106" s="4" t="s">
        <v>292</v>
      </c>
      <c r="B106" s="32">
        <f>P2_TaskV_Valuation!AB4</f>
        <v>1543.6152932474631</v>
      </c>
    </row>
    <row r="107" spans="1:27" x14ac:dyDescent="0.2">
      <c r="A107" s="4" t="s">
        <v>293</v>
      </c>
      <c r="B107" s="32">
        <f>Data_Stock!D4</f>
        <v>1558.89</v>
      </c>
    </row>
    <row r="108" spans="1:27" x14ac:dyDescent="0.2">
      <c r="A108" s="4" t="s">
        <v>294</v>
      </c>
      <c r="B108" s="32">
        <f>Data_Cert!E4</f>
        <v>1635.75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2" width="18" customWidth="1"/>
  </cols>
  <sheetData>
    <row r="1" spans="1:2" ht="18" x14ac:dyDescent="0.2">
      <c r="A1" s="2" t="s">
        <v>295</v>
      </c>
    </row>
    <row r="3" spans="1:2" x14ac:dyDescent="0.2">
      <c r="A3" s="6" t="s">
        <v>296</v>
      </c>
      <c r="B3" s="6" t="s">
        <v>48</v>
      </c>
    </row>
    <row r="4" spans="1:2" x14ac:dyDescent="0.2">
      <c r="A4" s="4" t="s">
        <v>297</v>
      </c>
      <c r="B4" s="51">
        <f>Data_Stock!A4</f>
        <v>45904</v>
      </c>
    </row>
    <row r="5" spans="1:2" x14ac:dyDescent="0.2">
      <c r="A5" s="4" t="s">
        <v>298</v>
      </c>
      <c r="B5" s="51">
        <f>Data_Stock!A186</f>
        <v>46174</v>
      </c>
    </row>
    <row r="6" spans="1:2" x14ac:dyDescent="0.2">
      <c r="A6" s="4" t="s">
        <v>299</v>
      </c>
      <c r="B6" s="34">
        <f>COUNT(P2_TaskV_Valuation!AD4:AD186)</f>
        <v>183</v>
      </c>
    </row>
    <row r="7" spans="1:2" x14ac:dyDescent="0.2">
      <c r="A7" s="4" t="s">
        <v>300</v>
      </c>
      <c r="B7" s="32">
        <f>AVERAGE(P2_TaskV_Valuation!AB4:AB186)</f>
        <v>1480.456068183975</v>
      </c>
    </row>
    <row r="8" spans="1:2" x14ac:dyDescent="0.2">
      <c r="A8" s="4" t="s">
        <v>301</v>
      </c>
      <c r="B8" s="32">
        <f>AVERAGE(P2_TaskV_Valuation!AC4:AC186)</f>
        <v>1574.7496174863388</v>
      </c>
    </row>
    <row r="9" spans="1:2" x14ac:dyDescent="0.2">
      <c r="A9" s="4" t="s">
        <v>302</v>
      </c>
      <c r="B9" s="32">
        <f>P2_TaskV_Valuation!AB188</f>
        <v>-94.293549302363701</v>
      </c>
    </row>
    <row r="10" spans="1:2" x14ac:dyDescent="0.2">
      <c r="A10" s="4" t="s">
        <v>303</v>
      </c>
      <c r="B10" s="32">
        <f>P2_TaskV_Valuation!AB189</f>
        <v>101.88207718558652</v>
      </c>
    </row>
    <row r="11" spans="1:2" x14ac:dyDescent="0.2">
      <c r="A11" s="4" t="s">
        <v>304</v>
      </c>
      <c r="B11" s="32">
        <f>P2_TaskV_Valuation!AB190</f>
        <v>116.44495639922009</v>
      </c>
    </row>
    <row r="12" spans="1:2" x14ac:dyDescent="0.2">
      <c r="A12" s="4" t="s">
        <v>305</v>
      </c>
      <c r="B12" s="43">
        <f>P2_TaskVI_Greeks!B33</f>
        <v>0.53133878012894142</v>
      </c>
    </row>
    <row r="13" spans="1:2" x14ac:dyDescent="0.2">
      <c r="A13" s="4" t="s">
        <v>247</v>
      </c>
      <c r="B13" s="43">
        <f>P2_TaskVI_Greeks!B35</f>
        <v>-13.36892873141494</v>
      </c>
    </row>
    <row r="14" spans="1:2" x14ac:dyDescent="0.2">
      <c r="A14" s="4" t="s">
        <v>248</v>
      </c>
      <c r="B14" s="43">
        <f>P2_TaskVI_Greeks!B36</f>
        <v>0.50587839145367952</v>
      </c>
    </row>
    <row r="15" spans="1:2" x14ac:dyDescent="0.2">
      <c r="A15" s="4" t="s">
        <v>306</v>
      </c>
      <c r="B15" s="30">
        <f>AVERAGE(P2_TaskVII_Replication!AG4:AG186)</f>
        <v>0.67710126043320851</v>
      </c>
    </row>
    <row r="16" spans="1:2" x14ac:dyDescent="0.2">
      <c r="A16" s="4" t="s">
        <v>307</v>
      </c>
      <c r="B16" s="30" t="e">
        <f>P1_Tasks_I_IV!B28</f>
        <v>#DIV/0!</v>
      </c>
    </row>
    <row r="17" spans="1:2" x14ac:dyDescent="0.2">
      <c r="A17" s="4" t="s">
        <v>308</v>
      </c>
      <c r="B17" s="32">
        <f>P1_Tasks_I_IV!B49</f>
        <v>2.3408000000000002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26</vt:i4>
      </vt:variant>
    </vt:vector>
  </HeadingPairs>
  <TitlesOfParts>
    <vt:vector size="37" baseType="lpstr">
      <vt:lpstr>Cover</vt:lpstr>
      <vt:lpstr>Inputs</vt:lpstr>
      <vt:lpstr>Data_Stock</vt:lpstr>
      <vt:lpstr>Data_Cert</vt:lpstr>
      <vt:lpstr>Data_Svensson</vt:lpstr>
      <vt:lpstr>P1_Tasks_I_IV</vt:lpstr>
      <vt:lpstr>P2_TaskV_Valuation</vt:lpstr>
      <vt:lpstr>P2_TaskVI_Greeks</vt:lpstr>
      <vt:lpstr>P2_TaskVII_Replication</vt:lpstr>
      <vt:lpstr>CRR_CrossCheck</vt:lpstr>
      <vt:lpstr>Results</vt:lpstr>
      <vt:lpstr>AnnualDiv</vt:lpstr>
      <vt:lpstr>Barrier</vt:lpstr>
      <vt:lpstr>Bonus</vt:lpstr>
      <vt:lpstr>Cap</vt:lpstr>
      <vt:lpstr>dR</vt:lpstr>
      <vt:lpstr>dS</vt:lpstr>
      <vt:lpstr>dSig</vt:lpstr>
      <vt:lpstr>dT</vt:lpstr>
      <vt:lpstr>EWMAlambda</vt:lpstr>
      <vt:lpstr>IssueDate</vt:lpstr>
      <vt:lpstr>K_d</vt:lpstr>
      <vt:lpstr>KCap_d</vt:lpstr>
      <vt:lpstr>MaturityDate</vt:lpstr>
      <vt:lpstr>q</vt:lpstr>
      <vt:lpstr>Ratio</vt:lpstr>
      <vt:lpstr>RedemptionDate</vt:lpstr>
      <vt:lpstr>RefSpot</vt:lpstr>
      <vt:lpstr>S0_d</vt:lpstr>
      <vt:lpstr>Sig_d</vt:lpstr>
      <vt:lpstr>svb0</vt:lpstr>
      <vt:lpstr>svb1</vt:lpstr>
      <vt:lpstr>svb2</vt:lpstr>
      <vt:lpstr>svb3</vt:lpstr>
      <vt:lpstr>svt1</vt:lpstr>
      <vt:lpstr>svt2</vt:lpstr>
      <vt:lpstr>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daanish muzaffar</cp:lastModifiedBy>
  <cp:revision>1</cp:revision>
  <dcterms:created xsi:type="dcterms:W3CDTF">2026-06-17T22:32:31Z</dcterms:created>
  <dcterms:modified xsi:type="dcterms:W3CDTF">2026-06-18T10:46:09Z</dcterms:modified>
  <dc:language>en-US</dc:language>
</cp:coreProperties>
</file>